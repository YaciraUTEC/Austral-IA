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Q:\Proyectos\Renovacion Activo Cocina - Caldero\CALDERA 2000BHP\CRONOGRAMAS Y AVANCES DE OBRA\CRONOGRAMA\"/>
    </mc:Choice>
  </mc:AlternateContent>
  <bookViews>
    <workbookView xWindow="0" yWindow="0" windowWidth="20490" windowHeight="7005" xr2:uid="{00000000-000D-0000-FFFF-FFFF00000000}"/>
  </bookViews>
  <sheets>
    <sheet name="MD " sheetId="8" r:id="rId1"/>
    <sheet name="Costos Unitarios" sheetId="5" state="hidden" r:id="rId2"/>
    <sheet name="FOTOS" sheetId="9" state="hidden" r:id="rId3"/>
    <sheet name="MD  (2)" sheetId="10" state="hidden" r:id="rId4"/>
  </sheets>
  <definedNames>
    <definedName name="_xlnm.Print_Area" localSheetId="1">'Costos Unitarios'!$B$1:$J$89</definedName>
    <definedName name="_xlnm.Print_Area" localSheetId="0">'MD '!$B$1:$AD$107</definedName>
    <definedName name="_xlnm.Print_Area" localSheetId="3">'MD  (2)'!$B$2:$K$49</definedName>
  </definedNames>
  <calcPr calcId="171027"/>
  <fileRecoveryPr autoRecover="0"/>
</workbook>
</file>

<file path=xl/calcChain.xml><?xml version="1.0" encoding="utf-8"?>
<calcChain xmlns="http://schemas.openxmlformats.org/spreadsheetml/2006/main">
  <c r="F60" i="5" l="1"/>
  <c r="F58" i="5"/>
  <c r="F59" i="5"/>
  <c r="F61" i="5"/>
  <c r="F62" i="5"/>
  <c r="F63" i="5"/>
  <c r="F64" i="5"/>
  <c r="F65" i="5"/>
  <c r="F66" i="5"/>
  <c r="F57" i="5"/>
  <c r="J83" i="5"/>
  <c r="J82" i="5"/>
  <c r="J81" i="5"/>
  <c r="J80" i="5"/>
  <c r="J79" i="5"/>
  <c r="J78" i="5"/>
  <c r="J77" i="5"/>
  <c r="J76" i="5"/>
  <c r="J75" i="5"/>
  <c r="F56" i="5"/>
  <c r="F55" i="5"/>
  <c r="F54" i="5"/>
  <c r="F53" i="5"/>
  <c r="F52" i="5"/>
  <c r="F51" i="5"/>
  <c r="F50" i="5"/>
  <c r="F49" i="5"/>
  <c r="F48" i="5"/>
  <c r="F47" i="5"/>
  <c r="J41" i="5"/>
  <c r="J40" i="5"/>
  <c r="J39" i="5"/>
  <c r="J38" i="5"/>
  <c r="J37" i="5"/>
  <c r="J36" i="5"/>
  <c r="J35" i="5"/>
  <c r="J34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84" i="5" l="1"/>
  <c r="F67" i="5"/>
  <c r="J43" i="5"/>
  <c r="I43" i="5"/>
  <c r="H24" i="5"/>
  <c r="J23" i="5"/>
  <c r="J22" i="5"/>
  <c r="J21" i="5"/>
  <c r="J26" i="5" l="1"/>
  <c r="J28" i="5" l="1"/>
  <c r="J30" i="5" s="1"/>
  <c r="J71" i="5" s="1"/>
  <c r="J86" i="5" s="1"/>
  <c r="J87" i="5" s="1"/>
</calcChain>
</file>

<file path=xl/sharedStrings.xml><?xml version="1.0" encoding="utf-8"?>
<sst xmlns="http://schemas.openxmlformats.org/spreadsheetml/2006/main" count="346" uniqueCount="269">
  <si>
    <t>IT</t>
  </si>
  <si>
    <t>INÍCIO</t>
  </si>
  <si>
    <t>MATERIAL DE CONSUMO</t>
  </si>
  <si>
    <t>___________________________________________________________________</t>
  </si>
  <si>
    <t>ÁREA SOLICITANTE / USUARIO</t>
  </si>
  <si>
    <t>ANEXO SOLICITANTE / E-MAIL SOLICITANTE</t>
  </si>
  <si>
    <t>FECHA DE SOLICITUD</t>
  </si>
  <si>
    <t>FECHA PREVISTA PARA VISITA:</t>
  </si>
  <si>
    <t>DESCRIPCIÓN DEL ALCANCE DE LAS ACTIVIDADES</t>
  </si>
  <si>
    <t>FIN</t>
  </si>
  <si>
    <t>PLAZO</t>
  </si>
  <si>
    <t>SEGURIDAD</t>
  </si>
  <si>
    <t xml:space="preserve">DESCRIPCIÓN  </t>
  </si>
  <si>
    <t>CANT.</t>
  </si>
  <si>
    <t>UNIDAD</t>
  </si>
  <si>
    <t>OBSERVACIONES GENERALES</t>
  </si>
  <si>
    <t>DOCUMENTOS DE REFERENCIA</t>
  </si>
  <si>
    <t>REGIMEN DE TRABAJO</t>
  </si>
  <si>
    <t>OBLIGACIONES</t>
  </si>
  <si>
    <t>INFORMACIONES TÉCNICAS</t>
  </si>
  <si>
    <t>MATERIAL DE APLICACIÓN</t>
  </si>
  <si>
    <t>PLANOS Y DIBUJOS</t>
  </si>
  <si>
    <t>CONSUMIBLES</t>
  </si>
  <si>
    <t>MANO DE OBRA</t>
  </si>
  <si>
    <t>SOLICITANTE / USUARIO</t>
  </si>
  <si>
    <t>TOTAL</t>
  </si>
  <si>
    <t>UTILIDAD</t>
  </si>
  <si>
    <t>UN</t>
  </si>
  <si>
    <t>NORMAL ( lunes a sábado)</t>
  </si>
  <si>
    <t>MEMORIA DESCRIPTIVA DEL SERVICIO</t>
  </si>
  <si>
    <t>PENALIDADES PARA EL CONTRATISTA</t>
  </si>
  <si>
    <t xml:space="preserve">SERVICIO:  </t>
  </si>
  <si>
    <t>PLANILLA DE COSTOS ABIERTOS - DETALLES PERSONAL / EQUIPOS / GASTOS GENERALES</t>
  </si>
  <si>
    <t>RELACION DE CARGOS, SALARIOS, ADICIONALES DE PERSONAL</t>
  </si>
  <si>
    <t>Subtotal 1 - Personal:</t>
  </si>
  <si>
    <t>Subtotal 2 - Benefícios:</t>
  </si>
  <si>
    <t>DESCRIPCION DE EQUIPOS</t>
  </si>
  <si>
    <t>FABRICANTE</t>
  </si>
  <si>
    <t>MODELO</t>
  </si>
  <si>
    <t>CANTIDAD</t>
  </si>
  <si>
    <r>
      <t xml:space="preserve">CARGOS </t>
    </r>
    <r>
      <rPr>
        <b/>
        <sz val="8"/>
        <rFont val="Arial"/>
        <family val="2"/>
      </rPr>
      <t>- Describir todos los cargos que fueran considerados para la realización de los servicios</t>
    </r>
  </si>
  <si>
    <t>DESCRIPCION DE MATERIAL</t>
  </si>
  <si>
    <t>UM</t>
  </si>
  <si>
    <t>PRECIO UNI.</t>
  </si>
  <si>
    <t>PRECIO TOT.</t>
  </si>
  <si>
    <t>OBSERVACIONES TÉCNICAS</t>
  </si>
  <si>
    <t>MATERIALES QUE SERAN UTILIZADOS DURANTE LA OPERACIÓN</t>
  </si>
  <si>
    <t>TOTAL (Sin IGV)</t>
  </si>
  <si>
    <t>OBSERVACIONES:</t>
  </si>
  <si>
    <t>Nª Personas</t>
  </si>
  <si>
    <t>Nª HH</t>
  </si>
  <si>
    <t>SALARIO (S/. / HH)</t>
  </si>
  <si>
    <t>GASTOS GENERALES</t>
  </si>
  <si>
    <t>Cantidad</t>
  </si>
  <si>
    <t>Precio Unitario</t>
  </si>
  <si>
    <t>Concepto</t>
  </si>
  <si>
    <t>EQUIPOS Y HERRAMIENTAS QUE SERAN UTILIZADOS DURANTE LA OPERACIÓN</t>
  </si>
  <si>
    <t>COSTO DEL SERVICIO SIN UTILIDAD E  IMPUESTO</t>
  </si>
  <si>
    <t xml:space="preserve">RECOMENDACIONES ESPECÍFICAS DE SEGURIDAD
</t>
  </si>
  <si>
    <t>SUMINISTROS DADO POR  AUSTRAL</t>
  </si>
  <si>
    <t>AUSTRAL</t>
  </si>
  <si>
    <t>TERCERO</t>
  </si>
  <si>
    <t>LIBERACIÓN DE ÁREA</t>
  </si>
  <si>
    <t>MATERIAL PARA FABRICACION</t>
  </si>
  <si>
    <t>EQUIPOS Y HERRAMIENTAS</t>
  </si>
  <si>
    <t>OTROS</t>
  </si>
  <si>
    <t xml:space="preserve">ESPECIFIQUE OTROS: </t>
  </si>
  <si>
    <t>PARADA EN PRODUCCION</t>
  </si>
  <si>
    <t>TEMPORADA DE VEDA</t>
  </si>
  <si>
    <t>DOMINGO O FERIADO</t>
  </si>
  <si>
    <t>Personal Total para el trabajo a realizar</t>
  </si>
  <si>
    <t>Subtotal 3 - Mano de Obra</t>
  </si>
  <si>
    <t>Subtotal 4 -  Equipos y Herramientas</t>
  </si>
  <si>
    <t>Subtotal 5 - Materiales de Consumo y Mantenimiento:</t>
  </si>
  <si>
    <t>Subtotal 6 - OTROS ESPECIFICAR: Movilizaciòn y Desmovilizaciòn (transporte)</t>
  </si>
  <si>
    <t>COSTO POR OPERA.</t>
  </si>
  <si>
    <t>HRS DE USO</t>
  </si>
  <si>
    <t>FECHA ENTREGA DE PROPUESTAS ECONOMICAS:</t>
  </si>
  <si>
    <t>Subtotal 7 - Gastos Generales</t>
  </si>
  <si>
    <t>Prestar la debida informacion para realizar sus actividades</t>
  </si>
  <si>
    <t xml:space="preserve">MODALIDAD DE CONTRATACIÓN: </t>
  </si>
  <si>
    <t>MUESTRO FOTO.</t>
  </si>
  <si>
    <t>PROYECTOS</t>
  </si>
  <si>
    <t>6109/7125    -  itasayco@austral.com.pe  ; jkongsan@austral.com.pe</t>
  </si>
  <si>
    <t>El contratista debe cumplir con todos los documentos de SSO de la empresa</t>
  </si>
  <si>
    <t>Mantener orden y limpieza  en las zonas de trabajo</t>
  </si>
  <si>
    <t>No transitar por areas no autorizadas</t>
  </si>
  <si>
    <t>Al termino del Servicio la zona debe quedar limpia</t>
  </si>
  <si>
    <t>Se muestran fotos</t>
  </si>
  <si>
    <t>01.12.17</t>
  </si>
  <si>
    <t>OBRAS  PRELIMINARES</t>
  </si>
  <si>
    <t>Movilización y desmovilización de personal, equipos y herramientas</t>
  </si>
  <si>
    <t>PRUEBAS Y FUNCIONAMIENTO DE LOS EQUIPOS.</t>
  </si>
  <si>
    <t>Pruebas de funcionamiento corresponden a los equipos instalados</t>
  </si>
  <si>
    <t>DESCONEXION DE BOMBA DE AGUA</t>
  </si>
  <si>
    <t>DESMOSNTAJE /MONTAJE MECANICO DE BOMBAS DE ALIMENTACION DE AGUA Y CALDERO 900BHP Y 2000BHP</t>
  </si>
  <si>
    <t xml:space="preserve"> DESMOTAJE MECANCANICO CALDERA 1 Y 2</t>
  </si>
  <si>
    <t>Desmontaje de Chimenea</t>
  </si>
  <si>
    <t>Desmontaje de 4  bombas auroras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</si>
  <si>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</si>
  <si>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</si>
  <si>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</si>
  <si>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</si>
  <si>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</si>
  <si>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</si>
  <si>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</si>
  <si>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</si>
  <si>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</si>
  <si>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</si>
  <si>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Hermetizar caldera en los sistemas (ingresos y salidas)</t>
  </si>
  <si>
    <t>2.1.11</t>
  </si>
  <si>
    <t>2.1.12</t>
  </si>
  <si>
    <t xml:space="preserve">Traslado de la caldera a la zona designad por el cliente </t>
  </si>
  <si>
    <t>2.1.13</t>
  </si>
  <si>
    <t>2.1.14</t>
  </si>
  <si>
    <t>2.1.15</t>
  </si>
  <si>
    <t xml:space="preserve">MODIFICACIONES Y FABRICACIONES </t>
  </si>
  <si>
    <t>3.1.1</t>
  </si>
  <si>
    <t>3.1.2</t>
  </si>
  <si>
    <t>3.1.3</t>
  </si>
  <si>
    <t>3.1.4</t>
  </si>
  <si>
    <t>3.1.5</t>
  </si>
  <si>
    <t>3.1.6</t>
  </si>
  <si>
    <t>Maniobras para posicionar caldera sobre su base</t>
  </si>
  <si>
    <t>MONTAJE DE CALDERA 2000 BHP</t>
  </si>
  <si>
    <t>MONTAJE DEL SISTEMA DE VAPOR.</t>
  </si>
  <si>
    <t>CALDERA DE 900 BHP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</si>
  <si>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</si>
  <si>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</si>
  <si>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</si>
  <si>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</si>
  <si>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</si>
  <si>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</si>
  <si>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</si>
  <si>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</si>
  <si>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5.1.1</t>
  </si>
  <si>
    <t>5.1.2</t>
  </si>
  <si>
    <t>5.1.3</t>
  </si>
  <si>
    <t>5.1.4</t>
  </si>
  <si>
    <t>Maniobra para el desmontaje propio de la caldera de su base</t>
  </si>
  <si>
    <t>MES 1</t>
  </si>
  <si>
    <t>MES2</t>
  </si>
  <si>
    <t>MES 3</t>
  </si>
  <si>
    <t xml:space="preserve">Desmontaje mecánico del sistema de bombas agua blanda existente </t>
  </si>
  <si>
    <t>Desmontaje de tuberías y válvulas de agua blanda</t>
  </si>
  <si>
    <t xml:space="preserve">Desmontaje de  tubería y válvulas de alimentación de combustible y la tubería de recirculación </t>
  </si>
  <si>
    <t>Desmontaje de  tuberías y válvulas de purga de superficie</t>
  </si>
  <si>
    <t>Desmontaje de  tuberías y válvulas de la purga de fondo.</t>
  </si>
  <si>
    <t>Desmontaje de  tubería y válvulas de alimentación de aire</t>
  </si>
  <si>
    <t xml:space="preserve">Desmontaje de  tuberías y válvula de salida de vapor </t>
  </si>
  <si>
    <t>Desmontaje de techo en área de las calderas 1 y 2 para retiro de la chimenea.</t>
  </si>
  <si>
    <t xml:space="preserve">Maniobra para el carguío de la caldera </t>
  </si>
  <si>
    <t>Embalaje de bombas, válvulas y accesorios de la caldera para su custodia.</t>
  </si>
  <si>
    <t>Modificación e instalación de techo para la instalación de la nueva chimenea</t>
  </si>
  <si>
    <t xml:space="preserve">Fabricación de chimenea </t>
  </si>
  <si>
    <t>Modificación , cambio de diámetros e instalación de las tuberías de succión de agua blanda</t>
  </si>
  <si>
    <t>Modificación , cambio de diámetros e instalación de las tuberías de alimentación de agua blanda</t>
  </si>
  <si>
    <t>Modificación , cambio de diámetros e instalación de las tuberías de alimentación de combustible</t>
  </si>
  <si>
    <t>Modificación , cambio de diámetros e instalación de las tuberías de alimentación de aire</t>
  </si>
  <si>
    <t>Montaje de la chimenea</t>
  </si>
  <si>
    <t xml:space="preserve">Montaje de válvulas y línea de alimentación de agua blanda </t>
  </si>
  <si>
    <t>Montaje de válvulas y línea de alimentación de combustible y recirculación</t>
  </si>
  <si>
    <t>Montaje de válvulas y la línea de alimentación de aire</t>
  </si>
  <si>
    <t>Montaje de la línea de purga de superficie</t>
  </si>
  <si>
    <t>Montaje de la línea de purga de fondo</t>
  </si>
  <si>
    <t>Montaje de válvula y tubería de salida de vapor</t>
  </si>
  <si>
    <t xml:space="preserve">Fabricación e instalación  de manifol de vapor para la distribución </t>
  </si>
  <si>
    <t>Instalación de válvulas y línea de alimentación al manifool de vapor</t>
  </si>
  <si>
    <t xml:space="preserve">Instalación del sistema de Vapor y purgas </t>
  </si>
  <si>
    <t xml:space="preserve">Fabricación e instalación del sistema de flasheo de vapor </t>
  </si>
  <si>
    <t>DESMONTAJE BOMBAS DE ALIMENTACION DE AGUA y CALDERO 900BHP  / MONATJE CALDERA 2000BHP</t>
  </si>
  <si>
    <t xml:space="preserve">Desmontaje mecánico del sistema de bombas alimentacion agua blanda  </t>
  </si>
  <si>
    <t>Desmontaje de tuberías y válvulas de alimentacion agua blanda</t>
  </si>
  <si>
    <t>Desmontaje de 4  bombas alimentacion agua - (Aurora)</t>
  </si>
  <si>
    <t xml:space="preserve">Desmontaje de  tubería y válvulas de alimentación y recirculacion de combustible </t>
  </si>
  <si>
    <t>Desmontaje de  tubería y válvulas de suminstro aire</t>
  </si>
  <si>
    <t xml:space="preserve">Desmontaje de  tuberías y válvula de salida de vapor a sistema </t>
  </si>
  <si>
    <t>Desmontaje parcial de techo en área de calderas 1 y 2  (dejar area libre para retiro de la chimenea)</t>
  </si>
  <si>
    <t>Instalación de las tuberías de succión en bomba tipo turbina de agua blanda</t>
  </si>
  <si>
    <t>Instalación de las tuberías de alimentación de agua blanda a Caldera</t>
  </si>
  <si>
    <t>Instalación de las tuberías de alimentación y recirculacion de combustible</t>
  </si>
  <si>
    <t>Instalación de las tuberías de suminstro aire</t>
  </si>
  <si>
    <t xml:space="preserve">Fabricación de chimenea  - incluye aplicación de pintura especial temperatura gases </t>
  </si>
  <si>
    <t>Montaje de la línea de purga de superficie hacia canaleta</t>
  </si>
  <si>
    <t>Montaje de la línea de purga de fondo hacia canaleta</t>
  </si>
  <si>
    <t>Montaje de válvula y tubería de salida de vapor a sistema</t>
  </si>
  <si>
    <t>Montaje de Bombas alimentacion agua tipo turbina</t>
  </si>
  <si>
    <t>5.1.5</t>
  </si>
  <si>
    <t>Instalación de válvulas y línea de alimentación al manifold de vapor de las calderas existentes</t>
  </si>
  <si>
    <t>Instalación del sistema de Vapor y purgas según nueva configuracion</t>
  </si>
  <si>
    <t>Fabricación e instalación del sistema de flasheo de vapor  para alimentar Cocinas</t>
  </si>
  <si>
    <t>Fabricacion e Instalacion de sistema de recoleccion de condensado para retorno a Tk Desaereador</t>
  </si>
  <si>
    <t>AISLAMIENTO DE LOS EQUIPOS Y TUBERIAS</t>
  </si>
  <si>
    <t xml:space="preserve">Aislamiento de las tuberias y equipos comprendidos </t>
  </si>
  <si>
    <t>Maniobra para el carguío y descarguio de la caldera  en la ubicación designada por Austral</t>
  </si>
  <si>
    <t>Embalaje e identificacion  adecuada de bombas, válvulas y accesorios de la caldera para su custodia.</t>
  </si>
  <si>
    <t>Modificaciones de techo y cobertura para la instalación de la nueva chimenea (01)</t>
  </si>
  <si>
    <t>MODIFICACIONES - FABRICACIONES - INSTALACIONES</t>
  </si>
  <si>
    <t>Maniobras para descarguio y  posicionamiento de nueva  caldera sobre su base</t>
  </si>
  <si>
    <t>DESCONEXION DE CALDERA 900 BHP</t>
  </si>
  <si>
    <r>
      <t xml:space="preserve">Fabricación e instalación  de  </t>
    </r>
    <r>
      <rPr>
        <sz val="10"/>
        <color rgb="FFFF0000"/>
        <rFont val="Arial"/>
        <family val="2"/>
      </rPr>
      <t>02 manifolds</t>
    </r>
    <r>
      <rPr>
        <sz val="10"/>
        <rFont val="Arial"/>
        <family val="2"/>
      </rPr>
      <t xml:space="preserve"> de vapor para la distribución </t>
    </r>
  </si>
  <si>
    <t>Jefe de proyecto</t>
  </si>
  <si>
    <t>Ingeniero residente</t>
  </si>
  <si>
    <t>Supervisor de SSO</t>
  </si>
  <si>
    <t>Jefe de unidad de maniobras (supervisor)</t>
  </si>
  <si>
    <t>Maestro manibrista</t>
  </si>
  <si>
    <t>Maestro calderero</t>
  </si>
  <si>
    <t>Ayudante de maniobrista</t>
  </si>
  <si>
    <t>Ayudante de calderero</t>
  </si>
  <si>
    <t>Chofer</t>
  </si>
  <si>
    <t>Apoyo</t>
  </si>
  <si>
    <t>Gruero</t>
  </si>
  <si>
    <t>Reager</t>
  </si>
  <si>
    <t>Maestro pintor</t>
  </si>
  <si>
    <t>Grua telescopica</t>
  </si>
  <si>
    <t>P &amp; H</t>
  </si>
  <si>
    <t>Equipos de oxicorte</t>
  </si>
  <si>
    <t>Aga</t>
  </si>
  <si>
    <t>Maquinas de soldar</t>
  </si>
  <si>
    <t>Lincoln</t>
  </si>
  <si>
    <t>Esmeriles</t>
  </si>
  <si>
    <t>Dewalt</t>
  </si>
  <si>
    <t>Tecles</t>
  </si>
  <si>
    <t>Yale</t>
  </si>
  <si>
    <t>Cabos y cadenas</t>
  </si>
  <si>
    <t>XX</t>
  </si>
  <si>
    <t>Andamios</t>
  </si>
  <si>
    <t>IFM</t>
  </si>
  <si>
    <t>Tortugas</t>
  </si>
  <si>
    <t>Consumibles</t>
  </si>
  <si>
    <t>Plancha de  12mm X 1500mm X 6000mm A36</t>
  </si>
  <si>
    <t>Unid</t>
  </si>
  <si>
    <t>Plancha estriada de4.5 X 4' X 8'  A-36</t>
  </si>
  <si>
    <t>Canal C-6" X 15 Lbs X 20'  A-36</t>
  </si>
  <si>
    <t>Canal C-4" X 5.4 Lbs X 20'  A-36</t>
  </si>
  <si>
    <t>Angulo de 1/4" X 2" X 2" X 20'  A-36</t>
  </si>
  <si>
    <t>Gl.</t>
  </si>
  <si>
    <t xml:space="preserve">Materiales y accesorios varios </t>
  </si>
  <si>
    <t>Uniformes de trabajo</t>
  </si>
  <si>
    <t>Juego</t>
  </si>
  <si>
    <t>Implementos de seguridad</t>
  </si>
  <si>
    <t>Alojamiento</t>
  </si>
  <si>
    <t>Unidad</t>
  </si>
  <si>
    <t>Alimentacion</t>
  </si>
  <si>
    <t>Movilidad diaria con materiales y equipos</t>
  </si>
  <si>
    <t xml:space="preserve">Transporte local de personal </t>
  </si>
  <si>
    <t>Taxis locales</t>
  </si>
  <si>
    <t>Transporte de equipos y heramientas</t>
  </si>
  <si>
    <t>Envios y recojos</t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</si>
  <si>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8" x 20'  sch-40  A-53</t>
    </r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</si>
  <si>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10" x 30'  sch-40  A-53</t>
    </r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</si>
  <si>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12" x 20'  sch-40  A-53</t>
    </r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</si>
  <si>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14" x 20'  sch-40  A-53</t>
    </r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</si>
  <si>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16" x 20'  sch-40  A-53</t>
    </r>
  </si>
  <si>
    <r>
      <t xml:space="preserve">Tubo  de </t>
    </r>
    <r>
      <rPr>
        <sz val="10"/>
        <rFont val="Calibri"/>
        <family val="2"/>
      </rPr>
      <t>Ø</t>
    </r>
    <r>
      <rPr>
        <sz val="8"/>
        <rFont val="Arial"/>
        <family val="2"/>
      </rPr>
      <t xml:space="preserve"> 26" x 20'  sch-40  A-54</t>
    </r>
    <r>
      <rPr>
        <sz val="11"/>
        <color theme="1"/>
        <rFont val="Calibri"/>
        <family val="2"/>
        <scheme val="minor"/>
      </rPr>
      <t/>
    </r>
  </si>
  <si>
    <t>Maestro soldador</t>
  </si>
  <si>
    <t xml:space="preserve">Pintura para primera y segunda capa </t>
  </si>
  <si>
    <t>Codos de 12" x 90° sch-40 soldable</t>
  </si>
  <si>
    <t>Plancha de  3/16" X 1500mm X 6000mm A36</t>
  </si>
  <si>
    <t>Plataforma</t>
  </si>
  <si>
    <t>Codos de 8" x 90° sch-40 soldable</t>
  </si>
  <si>
    <t>Codos de 16" x 90° sch-40 soldable</t>
  </si>
  <si>
    <t>Codos de 3" x 90° sch-40 soldable</t>
  </si>
  <si>
    <t>Codos de 14" x 90° sch-40 soldable</t>
  </si>
  <si>
    <t>Las valvulas y otros accesorios que no se han considerado seran proporcionados por el cliente.</t>
  </si>
  <si>
    <t>Fabricación de chiminea</t>
  </si>
  <si>
    <t>- El aislamiento termico de las tuberias</t>
  </si>
  <si>
    <t>- La adquisicion de las valvulas de vapor</t>
  </si>
  <si>
    <t xml:space="preserve">EL ALCANCE NO INCLUYE: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</si>
</sst>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#,##0.00;[Red]#,##0.00"/>
    <numFmt numFmtId="166" formatCode="0.00;[Red]0.00"/>
    <numFmt numFmtId="167" formatCode="0.0%"/>
    <numFmt numFmtId="168" formatCode="_-&quot;R$&quot;\ * #,##0.00_-;\-&quot;R$&quot;\ * #,##0.00_-;_-&quot;R$&quot;\ * &quot;-&quot;??_-;_-@_-"/>
    <numFmt numFmtId="169" formatCode="_(&quot;R$ &quot;* #,##0.00_);_(&quot;R$ &quot;* \(#,##0.00\);_(&quot;R$ &quot;* &quot;-&quot;??_);_(@_)"/>
    <numFmt numFmtId="170" formatCode="_-[$$-409]* #,##0.00_ ;_-[$$-409]* \-#,##0.00\ ;_-[$$-409]* &quot;-&quot;??_ ;_-@_ "/>
    <numFmt numFmtId="171" formatCode="0;[Red]0"/>
    <numFmt numFmtId="172" formatCode="_(* #,##0_);_(* \(#,##0\);_(* &quot;-&quot;??_);_(@_)"/>
    <numFmt numFmtId="173" formatCode="_(&quot;$&quot;* #,##0.00_);_(&quot;$&quot;* \(#,##0.00\);_(&quot;$&quot;* &quot;-&quot;??_);_(@_)"/>
    <numFmt numFmtId="174" formatCode="#,##0.00_ ;\-#,##0.00\ 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8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hadow/>
      <sz val="12"/>
      <color rgb="FF993300"/>
      <name val="Arial"/>
      <family val="2"/>
    </font>
    <font>
      <b/>
      <shadow/>
      <sz val="20"/>
      <color rgb="FF800000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sz val="10"/>
      <name val="Calibri"/>
      <family val="2"/>
    </font>
    <font>
      <sz val="8"/>
      <name val="Arial"/>
      <family val="2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sz val="11"/>
      <color rgb="FFFF0000"/>
      <name val="Calibri"/>
      <family val="2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1" fillId="0" borderId="0"/>
    <xf numFmtId="0" fontId="5" fillId="0" borderId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3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4" fillId="0" borderId="0"/>
    <xf numFmtId="0" fontId="36" fillId="0" borderId="0"/>
  </cellStyleXfs>
  <cellXfs count="425">
    <xf numFmtId="0" fontId="0" fillId="0" borderId="0" xfId="0"/>
    <xf numFmtId="0" fontId="0" fillId="0" borderId="0" xfId="0" applyFill="1" applyBorder="1" applyProtection="1"/>
    <xf numFmtId="0" fontId="0" fillId="0" borderId="6" xfId="0" applyFill="1" applyBorder="1" applyAlignment="1" applyProtection="1">
      <alignment horizontal="center" vertical="center"/>
    </xf>
    <xf numFmtId="0" fontId="0" fillId="0" borderId="7" xfId="0" applyFill="1" applyBorder="1" applyAlignment="1" applyProtection="1">
      <alignment horizontal="center" vertical="center"/>
    </xf>
    <xf numFmtId="0" fontId="0" fillId="0" borderId="9" xfId="0" applyFill="1" applyBorder="1" applyAlignment="1" applyProtection="1">
      <alignment horizontal="center" vertical="center"/>
    </xf>
    <xf numFmtId="0" fontId="0" fillId="0" borderId="12" xfId="0" applyFill="1" applyBorder="1" applyAlignment="1" applyProtection="1">
      <alignment horizontal="center" vertical="center"/>
    </xf>
    <xf numFmtId="49" fontId="0" fillId="0" borderId="18" xfId="0" applyNumberFormat="1" applyFill="1" applyBorder="1" applyAlignment="1" applyProtection="1">
      <alignment horizontal="center" vertical="center"/>
      <protection locked="0"/>
    </xf>
    <xf numFmtId="166" fontId="0" fillId="0" borderId="13" xfId="0" applyNumberFormat="1" applyBorder="1" applyAlignment="1" applyProtection="1">
      <alignment horizontal="right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2" fillId="0" borderId="4" xfId="0" applyFont="1" applyFill="1" applyBorder="1" applyAlignment="1" applyProtection="1">
      <alignment horizontal="center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/>
    <xf numFmtId="0" fontId="14" fillId="0" borderId="0" xfId="0" applyFont="1" applyFill="1" applyAlignment="1" applyProtection="1">
      <alignment horizontal="center" vertical="center"/>
    </xf>
    <xf numFmtId="0" fontId="0" fillId="0" borderId="22" xfId="0" applyFill="1" applyBorder="1" applyProtection="1"/>
    <xf numFmtId="0" fontId="0" fillId="0" borderId="23" xfId="0" applyFill="1" applyBorder="1" applyProtection="1"/>
    <xf numFmtId="0" fontId="0" fillId="0" borderId="12" xfId="0" applyFill="1" applyBorder="1" applyProtection="1"/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37" xfId="0" applyFont="1" applyFill="1" applyBorder="1" applyAlignment="1" applyProtection="1">
      <alignment horizontal="left" vertical="center"/>
      <protection locked="0"/>
    </xf>
    <xf numFmtId="0" fontId="0" fillId="0" borderId="4" xfId="0" applyFill="1" applyBorder="1" applyAlignment="1" applyProtection="1">
      <alignment vertical="center"/>
      <protection locked="0"/>
    </xf>
    <xf numFmtId="49" fontId="0" fillId="0" borderId="4" xfId="0" applyNumberFormat="1" applyFill="1" applyBorder="1" applyAlignment="1" applyProtection="1">
      <alignment horizontal="left" vertical="center"/>
      <protection locked="0"/>
    </xf>
    <xf numFmtId="49" fontId="0" fillId="0" borderId="5" xfId="0" applyNumberFormat="1" applyFill="1" applyBorder="1" applyAlignment="1" applyProtection="1">
      <alignment horizontal="left" vertical="center"/>
      <protection locked="0"/>
    </xf>
    <xf numFmtId="49" fontId="11" fillId="0" borderId="51" xfId="0" applyNumberFormat="1" applyFont="1" applyFill="1" applyBorder="1" applyAlignment="1" applyProtection="1">
      <alignment horizontal="left" vertical="center"/>
      <protection locked="0"/>
    </xf>
    <xf numFmtId="0" fontId="11" fillId="2" borderId="24" xfId="0" applyFont="1" applyFill="1" applyBorder="1" applyAlignment="1" applyProtection="1">
      <alignment horizontal="left" vertical="center"/>
      <protection locked="0"/>
    </xf>
    <xf numFmtId="49" fontId="11" fillId="0" borderId="18" xfId="0" applyNumberFormat="1" applyFont="1" applyFill="1" applyBorder="1" applyAlignment="1" applyProtection="1">
      <alignment horizontal="center" vertical="center"/>
      <protection locked="0"/>
    </xf>
    <xf numFmtId="166" fontId="11" fillId="0" borderId="13" xfId="0" applyNumberFormat="1" applyFont="1" applyFill="1" applyBorder="1" applyAlignment="1" applyProtection="1">
      <alignment horizontal="center" vertical="center"/>
      <protection locked="0"/>
    </xf>
    <xf numFmtId="166" fontId="0" fillId="0" borderId="13" xfId="0" applyNumberFormat="1" applyFill="1" applyBorder="1" applyAlignment="1" applyProtection="1">
      <alignment horizontal="center" vertical="center"/>
      <protection locked="0"/>
    </xf>
    <xf numFmtId="166" fontId="0" fillId="0" borderId="1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Fill="1" applyBorder="1" applyAlignment="1" applyProtection="1">
      <alignment horizontal="left" vertical="center" indent="1"/>
      <protection locked="0"/>
    </xf>
    <xf numFmtId="49" fontId="0" fillId="0" borderId="5" xfId="0" applyNumberFormat="1" applyFill="1" applyBorder="1" applyAlignment="1" applyProtection="1">
      <alignment horizontal="left" vertical="center" indent="1"/>
      <protection locked="0"/>
    </xf>
    <xf numFmtId="49" fontId="11" fillId="0" borderId="4" xfId="0" applyNumberFormat="1" applyFont="1" applyFill="1" applyBorder="1" applyAlignment="1" applyProtection="1">
      <alignment horizontal="left" vertical="center" indent="1"/>
      <protection locked="0"/>
    </xf>
    <xf numFmtId="49" fontId="11" fillId="0" borderId="5" xfId="0" applyNumberFormat="1" applyFont="1" applyFill="1" applyBorder="1" applyAlignment="1" applyProtection="1">
      <alignment horizontal="left" vertical="center" indent="1"/>
      <protection locked="0"/>
    </xf>
    <xf numFmtId="49" fontId="15" fillId="0" borderId="24" xfId="0" applyNumberFormat="1" applyFont="1" applyFill="1" applyBorder="1" applyAlignment="1" applyProtection="1">
      <alignment horizontal="left" vertical="center"/>
      <protection locked="0"/>
    </xf>
    <xf numFmtId="49" fontId="15" fillId="0" borderId="2" xfId="0" applyNumberFormat="1" applyFont="1" applyFill="1" applyBorder="1" applyAlignment="1" applyProtection="1">
      <alignment horizontal="left" vertical="center"/>
      <protection locked="0"/>
    </xf>
    <xf numFmtId="49" fontId="11" fillId="0" borderId="51" xfId="0" applyNumberFormat="1" applyFont="1" applyFill="1" applyBorder="1" applyAlignment="1" applyProtection="1">
      <alignment horizontal="left" vertical="center" indent="1"/>
      <protection locked="0"/>
    </xf>
    <xf numFmtId="0" fontId="0" fillId="0" borderId="44" xfId="0" applyFill="1" applyBorder="1" applyAlignment="1" applyProtection="1">
      <alignment horizontal="left" vertical="center" indent="1"/>
      <protection locked="0"/>
    </xf>
    <xf numFmtId="0" fontId="0" fillId="0" borderId="45" xfId="0" applyFill="1" applyBorder="1" applyAlignment="1" applyProtection="1">
      <alignment horizontal="left" vertical="center" indent="1"/>
      <protection locked="0"/>
    </xf>
    <xf numFmtId="49" fontId="12" fillId="0" borderId="51" xfId="0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/>
    <xf numFmtId="0" fontId="12" fillId="4" borderId="13" xfId="2" applyFont="1" applyFill="1" applyBorder="1" applyAlignment="1" applyProtection="1">
      <alignment horizontal="center" vertical="center" wrapText="1"/>
      <protection hidden="1"/>
    </xf>
    <xf numFmtId="0" fontId="12" fillId="4" borderId="3" xfId="2" applyFont="1" applyFill="1" applyBorder="1" applyAlignment="1" applyProtection="1">
      <alignment vertical="center"/>
      <protection hidden="1"/>
    </xf>
    <xf numFmtId="0" fontId="23" fillId="6" borderId="13" xfId="2" applyFont="1" applyFill="1" applyBorder="1" applyAlignment="1" applyProtection="1">
      <alignment horizontal="center" vertical="center" wrapText="1"/>
      <protection hidden="1"/>
    </xf>
    <xf numFmtId="1" fontId="5" fillId="0" borderId="13" xfId="3" applyNumberFormat="1" applyFont="1" applyFill="1" applyBorder="1" applyAlignment="1" applyProtection="1">
      <alignment horizontal="center" vertical="center"/>
      <protection hidden="1"/>
    </xf>
    <xf numFmtId="172" fontId="12" fillId="0" borderId="54" xfId="4" applyNumberFormat="1" applyFont="1" applyFill="1" applyBorder="1" applyAlignment="1" applyProtection="1">
      <alignment horizontal="center" vertical="center"/>
      <protection hidden="1"/>
    </xf>
    <xf numFmtId="1" fontId="5" fillId="0" borderId="3" xfId="3" applyNumberFormat="1" applyFont="1" applyFill="1" applyBorder="1" applyAlignment="1" applyProtection="1">
      <alignment horizontal="center" vertical="center"/>
      <protection hidden="1"/>
    </xf>
    <xf numFmtId="172" fontId="12" fillId="0" borderId="4" xfId="4" applyNumberFormat="1" applyFont="1" applyFill="1" applyBorder="1" applyAlignment="1" applyProtection="1">
      <alignment horizontal="center" vertical="center"/>
      <protection hidden="1"/>
    </xf>
    <xf numFmtId="0" fontId="5" fillId="0" borderId="0" xfId="2" applyAlignment="1" applyProtection="1">
      <alignment vertical="center"/>
      <protection hidden="1"/>
    </xf>
    <xf numFmtId="169" fontId="20" fillId="0" borderId="0" xfId="3" applyNumberFormat="1" applyFont="1" applyFill="1" applyBorder="1" applyAlignment="1" applyProtection="1">
      <alignment horizontal="center" vertical="center"/>
      <protection hidden="1"/>
    </xf>
    <xf numFmtId="0" fontId="12" fillId="0" borderId="0" xfId="2" applyFont="1" applyAlignment="1" applyProtection="1">
      <alignment vertical="center"/>
      <protection hidden="1"/>
    </xf>
    <xf numFmtId="0" fontId="11" fillId="0" borderId="0" xfId="2" applyFont="1" applyAlignment="1" applyProtection="1">
      <alignment vertical="center"/>
      <protection hidden="1"/>
    </xf>
    <xf numFmtId="0" fontId="12" fillId="0" borderId="0" xfId="2" applyFont="1" applyBorder="1" applyAlignment="1" applyProtection="1">
      <alignment vertical="center"/>
      <protection hidden="1"/>
    </xf>
    <xf numFmtId="0" fontId="12" fillId="0" borderId="3" xfId="2" applyFont="1" applyFill="1" applyBorder="1" applyAlignment="1" applyProtection="1">
      <alignment horizontal="left" vertical="center"/>
      <protection hidden="1"/>
    </xf>
    <xf numFmtId="0" fontId="12" fillId="0" borderId="4" xfId="2" applyFont="1" applyFill="1" applyBorder="1" applyAlignment="1" applyProtection="1">
      <alignment horizontal="left" vertical="center"/>
      <protection hidden="1"/>
    </xf>
    <xf numFmtId="0" fontId="12" fillId="0" borderId="8" xfId="2" applyFont="1" applyFill="1" applyBorder="1" applyAlignment="1" applyProtection="1">
      <alignment horizontal="left" vertical="center"/>
      <protection hidden="1"/>
    </xf>
    <xf numFmtId="0" fontId="12" fillId="0" borderId="13" xfId="2" applyFont="1" applyFill="1" applyBorder="1" applyAlignment="1" applyProtection="1">
      <alignment horizontal="center" vertical="center"/>
      <protection hidden="1"/>
    </xf>
    <xf numFmtId="174" fontId="11" fillId="0" borderId="13" xfId="3" applyNumberFormat="1" applyFont="1" applyFill="1" applyBorder="1" applyAlignment="1" applyProtection="1">
      <alignment horizontal="center" vertical="center"/>
      <protection hidden="1"/>
    </xf>
    <xf numFmtId="174" fontId="11" fillId="0" borderId="13" xfId="3" applyNumberFormat="1" applyFont="1" applyFill="1" applyBorder="1" applyAlignment="1" applyProtection="1">
      <alignment vertical="center"/>
      <protection hidden="1"/>
    </xf>
    <xf numFmtId="0" fontId="5" fillId="0" borderId="0" xfId="2" applyBorder="1" applyAlignment="1" applyProtection="1">
      <alignment vertical="center"/>
      <protection hidden="1"/>
    </xf>
    <xf numFmtId="171" fontId="12" fillId="8" borderId="16" xfId="2" applyNumberFormat="1" applyFont="1" applyFill="1" applyBorder="1" applyAlignment="1" applyProtection="1">
      <alignment horizontal="center" vertical="center"/>
      <protection hidden="1"/>
    </xf>
    <xf numFmtId="0" fontId="11" fillId="3" borderId="0" xfId="2" applyFont="1" applyFill="1" applyBorder="1" applyAlignment="1" applyProtection="1">
      <alignment vertical="center"/>
      <protection hidden="1"/>
    </xf>
    <xf numFmtId="172" fontId="11" fillId="0" borderId="0" xfId="2" applyNumberFormat="1" applyFont="1" applyBorder="1" applyAlignment="1" applyProtection="1">
      <alignment vertical="center"/>
      <protection hidden="1"/>
    </xf>
    <xf numFmtId="0" fontId="12" fillId="3" borderId="24" xfId="2" applyFont="1" applyFill="1" applyBorder="1" applyAlignment="1" applyProtection="1">
      <alignment vertical="center"/>
      <protection hidden="1"/>
    </xf>
    <xf numFmtId="0" fontId="11" fillId="3" borderId="24" xfId="2" applyFont="1" applyFill="1" applyBorder="1" applyAlignment="1" applyProtection="1">
      <alignment vertical="center"/>
      <protection hidden="1"/>
    </xf>
    <xf numFmtId="169" fontId="11" fillId="3" borderId="24" xfId="3" applyNumberFormat="1" applyFont="1" applyFill="1" applyBorder="1" applyAlignment="1" applyProtection="1">
      <alignment vertical="center"/>
      <protection hidden="1"/>
    </xf>
    <xf numFmtId="0" fontId="5" fillId="3" borderId="0" xfId="2" applyFill="1" applyBorder="1" applyAlignment="1" applyProtection="1">
      <alignment vertical="center"/>
      <protection hidden="1"/>
    </xf>
    <xf numFmtId="4" fontId="12" fillId="5" borderId="13" xfId="3" applyNumberFormat="1" applyFont="1" applyFill="1" applyBorder="1" applyAlignment="1" applyProtection="1">
      <alignment horizontal="right" vertical="center"/>
      <protection hidden="1"/>
    </xf>
    <xf numFmtId="0" fontId="12" fillId="0" borderId="4" xfId="2" applyFont="1" applyFill="1" applyBorder="1" applyAlignment="1" applyProtection="1">
      <alignment vertical="center"/>
      <protection hidden="1"/>
    </xf>
    <xf numFmtId="0" fontId="11" fillId="0" borderId="4" xfId="2" applyFont="1" applyFill="1" applyBorder="1" applyAlignment="1" applyProtection="1">
      <alignment vertical="center"/>
      <protection hidden="1"/>
    </xf>
    <xf numFmtId="4" fontId="12" fillId="3" borderId="24" xfId="3" applyNumberFormat="1" applyFont="1" applyFill="1" applyBorder="1" applyAlignment="1" applyProtection="1">
      <alignment horizontal="right" vertical="center"/>
      <protection hidden="1"/>
    </xf>
    <xf numFmtId="174" fontId="14" fillId="7" borderId="16" xfId="3" applyNumberFormat="1" applyFont="1" applyFill="1" applyBorder="1" applyAlignment="1" applyProtection="1">
      <alignment vertical="center"/>
      <protection hidden="1"/>
    </xf>
    <xf numFmtId="0" fontId="12" fillId="3" borderId="4" xfId="2" applyFont="1" applyFill="1" applyBorder="1" applyAlignment="1" applyProtection="1">
      <alignment vertical="center"/>
      <protection hidden="1"/>
    </xf>
    <xf numFmtId="0" fontId="11" fillId="3" borderId="4" xfId="2" applyFont="1" applyFill="1" applyBorder="1" applyAlignment="1" applyProtection="1">
      <alignment vertical="center"/>
      <protection hidden="1"/>
    </xf>
    <xf numFmtId="0" fontId="12" fillId="4" borderId="21" xfId="2" applyFont="1" applyFill="1" applyBorder="1" applyAlignment="1" applyProtection="1">
      <alignment horizontal="center" vertical="center"/>
      <protection hidden="1"/>
    </xf>
    <xf numFmtId="4" fontId="11" fillId="3" borderId="4" xfId="2" applyNumberFormat="1" applyFont="1" applyFill="1" applyBorder="1" applyAlignment="1" applyProtection="1">
      <alignment vertical="center"/>
      <protection hidden="1"/>
    </xf>
    <xf numFmtId="4" fontId="12" fillId="3" borderId="24" xfId="2" applyNumberFormat="1" applyFont="1" applyFill="1" applyBorder="1" applyAlignment="1" applyProtection="1">
      <alignment vertical="center"/>
      <protection hidden="1"/>
    </xf>
    <xf numFmtId="170" fontId="11" fillId="0" borderId="4" xfId="3" applyNumberFormat="1" applyFont="1" applyFill="1" applyBorder="1" applyAlignment="1" applyProtection="1">
      <alignment horizontal="center" vertical="center"/>
      <protection hidden="1"/>
    </xf>
    <xf numFmtId="170" fontId="11" fillId="0" borderId="8" xfId="3" applyNumberFormat="1" applyFont="1" applyFill="1" applyBorder="1" applyAlignment="1" applyProtection="1">
      <alignment horizontal="center" vertical="center"/>
      <protection hidden="1"/>
    </xf>
    <xf numFmtId="4" fontId="14" fillId="7" borderId="16" xfId="3" applyNumberFormat="1" applyFont="1" applyFill="1" applyBorder="1" applyAlignment="1" applyProtection="1">
      <alignment vertical="center"/>
      <protection hidden="1"/>
    </xf>
    <xf numFmtId="0" fontId="5" fillId="0" borderId="54" xfId="2" applyBorder="1" applyAlignment="1" applyProtection="1">
      <alignment vertical="center"/>
      <protection hidden="1"/>
    </xf>
    <xf numFmtId="0" fontId="5" fillId="0" borderId="10" xfId="2" applyBorder="1" applyAlignment="1" applyProtection="1">
      <alignment vertical="center"/>
      <protection hidden="1"/>
    </xf>
    <xf numFmtId="4" fontId="11" fillId="3" borderId="24" xfId="2" applyNumberFormat="1" applyFont="1" applyFill="1" applyBorder="1" applyAlignment="1" applyProtection="1">
      <alignment vertical="center"/>
      <protection hidden="1"/>
    </xf>
    <xf numFmtId="0" fontId="12" fillId="3" borderId="4" xfId="2" applyFont="1" applyFill="1" applyBorder="1" applyAlignment="1" applyProtection="1">
      <alignment horizontal="left" vertical="center"/>
      <protection hidden="1"/>
    </xf>
    <xf numFmtId="172" fontId="12" fillId="3" borderId="4" xfId="2" applyNumberFormat="1" applyFont="1" applyFill="1" applyBorder="1" applyAlignment="1" applyProtection="1">
      <alignment vertical="center"/>
      <protection hidden="1"/>
    </xf>
    <xf numFmtId="0" fontId="12" fillId="3" borderId="0" xfId="2" applyFont="1" applyFill="1" applyBorder="1" applyAlignment="1" applyProtection="1">
      <alignment vertical="center"/>
      <protection hidden="1"/>
    </xf>
    <xf numFmtId="0" fontId="12" fillId="3" borderId="10" xfId="2" applyFont="1" applyFill="1" applyBorder="1" applyAlignment="1" applyProtection="1">
      <alignment vertical="center"/>
      <protection hidden="1"/>
    </xf>
    <xf numFmtId="0" fontId="11" fillId="3" borderId="10" xfId="2" applyFont="1" applyFill="1" applyBorder="1" applyAlignment="1" applyProtection="1">
      <alignment vertical="center"/>
      <protection hidden="1"/>
    </xf>
    <xf numFmtId="172" fontId="12" fillId="3" borderId="0" xfId="2" applyNumberFormat="1" applyFont="1" applyFill="1" applyBorder="1" applyAlignment="1" applyProtection="1">
      <alignment vertical="center"/>
      <protection hidden="1"/>
    </xf>
    <xf numFmtId="167" fontId="12" fillId="0" borderId="13" xfId="2" applyNumberFormat="1" applyFont="1" applyFill="1" applyBorder="1" applyAlignment="1" applyProtection="1">
      <alignment horizontal="center" vertical="center"/>
      <protection hidden="1"/>
    </xf>
    <xf numFmtId="167" fontId="5" fillId="0" borderId="0" xfId="5" applyNumberFormat="1" applyFont="1" applyAlignment="1" applyProtection="1">
      <alignment vertical="center"/>
      <protection hidden="1"/>
    </xf>
    <xf numFmtId="0" fontId="16" fillId="0" borderId="54" xfId="2" applyFont="1" applyBorder="1" applyAlignment="1" applyProtection="1">
      <alignment vertical="center"/>
      <protection hidden="1"/>
    </xf>
    <xf numFmtId="0" fontId="5" fillId="0" borderId="55" xfId="2" applyBorder="1" applyAlignment="1" applyProtection="1">
      <alignment vertical="center"/>
      <protection hidden="1"/>
    </xf>
    <xf numFmtId="0" fontId="5" fillId="0" borderId="49" xfId="2" applyBorder="1" applyAlignment="1" applyProtection="1">
      <alignment vertical="center"/>
      <protection hidden="1"/>
    </xf>
    <xf numFmtId="169" fontId="5" fillId="0" borderId="52" xfId="2" applyNumberFormat="1" applyBorder="1" applyAlignment="1" applyProtection="1">
      <alignment vertical="center"/>
      <protection hidden="1"/>
    </xf>
    <xf numFmtId="0" fontId="5" fillId="0" borderId="52" xfId="2" applyBorder="1" applyAlignment="1" applyProtection="1">
      <alignment vertical="center"/>
      <protection hidden="1"/>
    </xf>
    <xf numFmtId="0" fontId="5" fillId="0" borderId="1" xfId="2" applyBorder="1" applyAlignment="1" applyProtection="1">
      <alignment vertical="center"/>
      <protection hidden="1"/>
    </xf>
    <xf numFmtId="0" fontId="5" fillId="0" borderId="24" xfId="2" applyBorder="1" applyAlignment="1" applyProtection="1">
      <alignment vertical="center"/>
      <protection hidden="1"/>
    </xf>
    <xf numFmtId="0" fontId="5" fillId="0" borderId="37" xfId="2" applyBorder="1" applyAlignment="1" applyProtection="1">
      <alignment vertical="center"/>
      <protection hidden="1"/>
    </xf>
    <xf numFmtId="174" fontId="14" fillId="7" borderId="13" xfId="3" applyNumberFormat="1" applyFont="1" applyFill="1" applyBorder="1" applyAlignment="1" applyProtection="1">
      <alignment vertical="center"/>
      <protection hidden="1"/>
    </xf>
    <xf numFmtId="1" fontId="0" fillId="0" borderId="13" xfId="3" applyNumberFormat="1" applyFont="1" applyFill="1" applyBorder="1" applyAlignment="1" applyProtection="1">
      <alignment horizontal="right" vertical="center" wrapText="1"/>
      <protection hidden="1"/>
    </xf>
    <xf numFmtId="4" fontId="14" fillId="0" borderId="16" xfId="3" applyNumberFormat="1" applyFont="1" applyFill="1" applyBorder="1" applyAlignment="1" applyProtection="1">
      <alignment vertical="center"/>
      <protection hidden="1"/>
    </xf>
    <xf numFmtId="0" fontId="6" fillId="2" borderId="24" xfId="0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 applyProtection="1">
      <alignment horizontal="left" vertical="center"/>
      <protection locked="0"/>
    </xf>
    <xf numFmtId="165" fontId="11" fillId="0" borderId="3" xfId="0" applyNumberFormat="1" applyFont="1" applyFill="1" applyBorder="1" applyAlignment="1" applyProtection="1">
      <alignment vertical="center"/>
      <protection locked="0"/>
    </xf>
    <xf numFmtId="165" fontId="0" fillId="0" borderId="4" xfId="0" applyNumberFormat="1" applyFill="1" applyBorder="1" applyAlignment="1" applyProtection="1">
      <alignment vertical="center"/>
      <protection locked="0"/>
    </xf>
    <xf numFmtId="165" fontId="0" fillId="0" borderId="8" xfId="0" applyNumberFormat="1" applyFill="1" applyBorder="1" applyAlignment="1" applyProtection="1">
      <alignment vertical="center"/>
      <protection locked="0"/>
    </xf>
    <xf numFmtId="0" fontId="25" fillId="2" borderId="24" xfId="8" applyFill="1" applyBorder="1" applyAlignment="1" applyProtection="1">
      <alignment horizontal="left" vertical="center"/>
      <protection locked="0"/>
    </xf>
    <xf numFmtId="0" fontId="11" fillId="0" borderId="0" xfId="0" applyFont="1" applyFill="1" applyBorder="1" applyAlignment="1" applyProtection="1">
      <alignment horizontal="left" vertical="center"/>
    </xf>
    <xf numFmtId="0" fontId="0" fillId="0" borderId="10" xfId="0" applyFill="1" applyBorder="1" applyAlignment="1" applyProtection="1">
      <alignment vertical="center"/>
    </xf>
    <xf numFmtId="0" fontId="0" fillId="2" borderId="10" xfId="0" applyFill="1" applyBorder="1" applyAlignment="1" applyProtection="1">
      <alignment horizontal="center" vertical="center"/>
    </xf>
    <xf numFmtId="0" fontId="0" fillId="0" borderId="24" xfId="0" applyFill="1" applyBorder="1" applyAlignment="1" applyProtection="1">
      <alignment vertical="center"/>
    </xf>
    <xf numFmtId="0" fontId="12" fillId="4" borderId="4" xfId="2" applyFont="1" applyFill="1" applyBorder="1" applyAlignment="1" applyProtection="1">
      <alignment vertical="center"/>
      <protection hidden="1"/>
    </xf>
    <xf numFmtId="4" fontId="12" fillId="0" borderId="13" xfId="3" applyNumberFormat="1" applyFont="1" applyFill="1" applyBorder="1" applyAlignment="1" applyProtection="1">
      <alignment horizontal="right" vertical="center"/>
      <protection hidden="1"/>
    </xf>
    <xf numFmtId="172" fontId="12" fillId="0" borderId="54" xfId="4" applyNumberFormat="1" applyFont="1" applyFill="1" applyBorder="1" applyAlignment="1" applyProtection="1">
      <alignment vertical="center"/>
      <protection hidden="1"/>
    </xf>
    <xf numFmtId="0" fontId="11" fillId="0" borderId="1" xfId="2" applyFont="1" applyFill="1" applyBorder="1" applyAlignment="1" applyProtection="1">
      <alignment vertical="center"/>
      <protection hidden="1"/>
    </xf>
    <xf numFmtId="0" fontId="11" fillId="0" borderId="24" xfId="2" applyFont="1" applyFill="1" applyBorder="1" applyAlignment="1" applyProtection="1">
      <alignment vertical="center"/>
      <protection hidden="1"/>
    </xf>
    <xf numFmtId="4" fontId="11" fillId="3" borderId="16" xfId="3" applyNumberFormat="1" applyFont="1" applyFill="1" applyBorder="1" applyAlignment="1" applyProtection="1">
      <alignment horizontal="center" vertical="center"/>
      <protection hidden="1"/>
    </xf>
    <xf numFmtId="164" fontId="5" fillId="3" borderId="0" xfId="7" applyFont="1" applyFill="1" applyBorder="1" applyAlignment="1" applyProtection="1">
      <alignment vertical="center"/>
      <protection hidden="1"/>
    </xf>
    <xf numFmtId="0" fontId="0" fillId="0" borderId="13" xfId="0" applyFill="1" applyBorder="1" applyAlignment="1" applyProtection="1">
      <alignment vertical="center"/>
      <protection locked="0"/>
    </xf>
    <xf numFmtId="0" fontId="0" fillId="0" borderId="19" xfId="0" applyFill="1" applyBorder="1" applyAlignment="1" applyProtection="1">
      <alignment vertical="center"/>
      <protection locked="0"/>
    </xf>
    <xf numFmtId="0" fontId="0" fillId="0" borderId="20" xfId="0" applyFill="1" applyBorder="1" applyAlignment="1" applyProtection="1">
      <alignment vertical="center"/>
      <protection locked="0"/>
    </xf>
    <xf numFmtId="0" fontId="12" fillId="9" borderId="16" xfId="0" applyFont="1" applyFill="1" applyBorder="1" applyAlignment="1" applyProtection="1">
      <alignment horizontal="center" vertical="center"/>
    </xf>
    <xf numFmtId="0" fontId="12" fillId="9" borderId="17" xfId="0" applyFont="1" applyFill="1" applyBorder="1" applyAlignment="1" applyProtection="1">
      <alignment horizontal="center" vertical="center"/>
    </xf>
    <xf numFmtId="0" fontId="0" fillId="9" borderId="13" xfId="0" applyFill="1" applyBorder="1" applyAlignment="1" applyProtection="1">
      <alignment vertical="center"/>
      <protection locked="0"/>
    </xf>
    <xf numFmtId="0" fontId="12" fillId="9" borderId="13" xfId="0" applyFont="1" applyFill="1" applyBorder="1" applyAlignment="1" applyProtection="1">
      <alignment horizontal="center" vertical="center"/>
      <protection locked="0"/>
    </xf>
    <xf numFmtId="0" fontId="12" fillId="9" borderId="2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</xf>
    <xf numFmtId="0" fontId="9" fillId="0" borderId="3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165" fontId="6" fillId="0" borderId="3" xfId="0" applyNumberFormat="1" applyFont="1" applyFill="1" applyBorder="1" applyAlignment="1" applyProtection="1">
      <alignment vertical="center"/>
      <protection locked="0"/>
    </xf>
    <xf numFmtId="0" fontId="0" fillId="0" borderId="10" xfId="0" applyFill="1" applyBorder="1" applyAlignment="1" applyProtection="1">
      <alignment vertical="center"/>
      <protection locked="0"/>
    </xf>
    <xf numFmtId="0" fontId="0" fillId="0" borderId="50" xfId="0" applyFill="1" applyBorder="1" applyAlignment="1" applyProtection="1">
      <alignment vertical="center"/>
      <protection locked="0"/>
    </xf>
    <xf numFmtId="0" fontId="11" fillId="0" borderId="49" xfId="0" applyFont="1" applyFill="1" applyBorder="1" applyAlignment="1" applyProtection="1">
      <alignment horizontal="left" vertical="center" indent="1"/>
      <protection locked="0"/>
    </xf>
    <xf numFmtId="0" fontId="0" fillId="0" borderId="0" xfId="0" applyFill="1" applyBorder="1" applyAlignment="1" applyProtection="1">
      <alignment horizontal="left" vertical="center" indent="1"/>
      <protection locked="0"/>
    </xf>
    <xf numFmtId="0" fontId="0" fillId="0" borderId="11" xfId="0" applyFill="1" applyBorder="1" applyAlignment="1" applyProtection="1">
      <alignment horizontal="left" vertical="center" indent="1"/>
      <protection locked="0"/>
    </xf>
    <xf numFmtId="0" fontId="11" fillId="0" borderId="49" xfId="0" applyFont="1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11" xfId="0" applyFill="1" applyBorder="1" applyAlignment="1" applyProtection="1">
      <alignment horizontal="left" vertical="center"/>
      <protection locked="0"/>
    </xf>
    <xf numFmtId="0" fontId="12" fillId="0" borderId="54" xfId="0" applyFont="1" applyFill="1" applyBorder="1" applyAlignment="1" applyProtection="1">
      <alignment vertical="center"/>
      <protection locked="0"/>
    </xf>
    <xf numFmtId="0" fontId="6" fillId="0" borderId="0" xfId="0" applyFont="1"/>
    <xf numFmtId="0" fontId="6" fillId="0" borderId="0" xfId="0" applyFont="1" applyFill="1" applyBorder="1" applyAlignment="1" applyProtection="1">
      <alignment vertical="center"/>
    </xf>
    <xf numFmtId="0" fontId="6" fillId="0" borderId="54" xfId="0" applyFont="1" applyFill="1" applyBorder="1" applyAlignment="1" applyProtection="1">
      <alignment horizontal="left" vertical="center"/>
      <protection locked="0"/>
    </xf>
    <xf numFmtId="49" fontId="26" fillId="0" borderId="51" xfId="0" applyNumberFormat="1" applyFont="1" applyFill="1" applyBorder="1" applyAlignment="1" applyProtection="1">
      <alignment horizontal="left" vertical="center"/>
      <protection locked="0"/>
    </xf>
    <xf numFmtId="0" fontId="0" fillId="10" borderId="16" xfId="0" applyFill="1" applyBorder="1" applyAlignment="1" applyProtection="1">
      <alignment horizontal="center" vertical="center"/>
      <protection locked="0"/>
    </xf>
    <xf numFmtId="165" fontId="11" fillId="0" borderId="8" xfId="0" applyNumberFormat="1" applyFont="1" applyFill="1" applyBorder="1" applyAlignment="1" applyProtection="1">
      <alignment vertical="center" wrapText="1"/>
      <protection locked="0"/>
    </xf>
    <xf numFmtId="0" fontId="0" fillId="0" borderId="3" xfId="0" applyFill="1" applyBorder="1" applyAlignment="1" applyProtection="1">
      <alignment vertical="center"/>
      <protection locked="0"/>
    </xf>
    <xf numFmtId="0" fontId="0" fillId="0" borderId="8" xfId="0" applyFill="1" applyBorder="1" applyAlignment="1" applyProtection="1">
      <alignment vertical="center"/>
      <protection locked="0"/>
    </xf>
    <xf numFmtId="0" fontId="12" fillId="9" borderId="6" xfId="0" applyFont="1" applyFill="1" applyBorder="1" applyAlignment="1" applyProtection="1">
      <alignment horizontal="center" vertical="center"/>
    </xf>
    <xf numFmtId="0" fontId="0" fillId="0" borderId="12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11" xfId="0" applyFill="1" applyBorder="1" applyAlignment="1" applyProtection="1">
      <alignment vertical="center"/>
    </xf>
    <xf numFmtId="0" fontId="0" fillId="0" borderId="49" xfId="0" applyFill="1" applyBorder="1" applyAlignment="1" applyProtection="1">
      <alignment vertical="center"/>
    </xf>
    <xf numFmtId="0" fontId="0" fillId="0" borderId="52" xfId="0" applyFill="1" applyBorder="1" applyAlignment="1" applyProtection="1">
      <alignment vertical="center"/>
    </xf>
    <xf numFmtId="0" fontId="11" fillId="0" borderId="49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11" xfId="0" applyFill="1" applyBorder="1" applyAlignment="1" applyProtection="1">
      <alignment vertical="center"/>
      <protection locked="0"/>
    </xf>
    <xf numFmtId="0" fontId="11" fillId="0" borderId="49" xfId="0" applyFont="1" applyFill="1" applyBorder="1" applyAlignment="1" applyProtection="1">
      <alignment horizontal="left" vertical="center" indent="2"/>
      <protection locked="0"/>
    </xf>
    <xf numFmtId="0" fontId="0" fillId="0" borderId="0" xfId="0" applyFill="1" applyBorder="1" applyAlignment="1" applyProtection="1">
      <alignment horizontal="left" vertical="center" indent="2"/>
      <protection locked="0"/>
    </xf>
    <xf numFmtId="0" fontId="0" fillId="0" borderId="11" xfId="0" applyFill="1" applyBorder="1" applyAlignment="1" applyProtection="1">
      <alignment horizontal="left" vertical="center" indent="2"/>
      <protection locked="0"/>
    </xf>
    <xf numFmtId="0" fontId="11" fillId="0" borderId="0" xfId="0" applyFont="1" applyFill="1" applyBorder="1" applyAlignment="1" applyProtection="1">
      <alignment vertical="center"/>
    </xf>
    <xf numFmtId="0" fontId="11" fillId="0" borderId="11" xfId="0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0" fontId="11" fillId="0" borderId="54" xfId="0" applyFont="1" applyFill="1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left" vertical="center"/>
      <protection locked="0"/>
    </xf>
    <xf numFmtId="0" fontId="11" fillId="0" borderId="50" xfId="0" applyFont="1" applyFill="1" applyBorder="1" applyAlignment="1" applyProtection="1">
      <alignment horizontal="left" vertical="center"/>
      <protection locked="0"/>
    </xf>
    <xf numFmtId="16" fontId="0" fillId="0" borderId="3" xfId="0" applyNumberFormat="1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left"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11" xfId="0" applyFill="1" applyBorder="1" applyAlignment="1" applyProtection="1">
      <alignment vertical="center"/>
      <protection locked="0"/>
    </xf>
    <xf numFmtId="0" fontId="11" fillId="0" borderId="49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</xf>
    <xf numFmtId="0" fontId="6" fillId="0" borderId="7" xfId="0" applyFont="1" applyFill="1" applyBorder="1" applyAlignment="1" applyProtection="1">
      <alignment horizontal="center" vertical="center"/>
    </xf>
    <xf numFmtId="0" fontId="27" fillId="10" borderId="6" xfId="0" applyFont="1" applyFill="1" applyBorder="1" applyAlignment="1" applyProtection="1">
      <alignment horizontal="center" vertical="center"/>
    </xf>
    <xf numFmtId="0" fontId="28" fillId="10" borderId="3" xfId="0" applyFont="1" applyFill="1" applyBorder="1" applyAlignment="1" applyProtection="1">
      <alignment vertical="center"/>
    </xf>
    <xf numFmtId="0" fontId="29" fillId="10" borderId="24" xfId="0" applyFont="1" applyFill="1" applyBorder="1" applyAlignment="1" applyProtection="1">
      <alignment horizontal="center" vertical="center"/>
    </xf>
    <xf numFmtId="0" fontId="29" fillId="10" borderId="37" xfId="0" applyFont="1" applyFill="1" applyBorder="1" applyAlignment="1" applyProtection="1">
      <alignment horizontal="center" vertical="center"/>
    </xf>
    <xf numFmtId="0" fontId="27" fillId="10" borderId="7" xfId="0" applyFont="1" applyFill="1" applyBorder="1" applyAlignment="1" applyProtection="1">
      <alignment horizontal="center" vertical="center"/>
    </xf>
    <xf numFmtId="0" fontId="0" fillId="10" borderId="13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</xf>
    <xf numFmtId="0" fontId="6" fillId="0" borderId="3" xfId="0" applyFont="1" applyFill="1" applyBorder="1" applyAlignment="1">
      <alignment wrapText="1"/>
    </xf>
    <xf numFmtId="0" fontId="27" fillId="10" borderId="3" xfId="0" applyFont="1" applyFill="1" applyBorder="1" applyAlignment="1">
      <alignment wrapText="1"/>
    </xf>
    <xf numFmtId="0" fontId="30" fillId="0" borderId="35" xfId="0" applyFont="1" applyFill="1" applyBorder="1" applyAlignment="1" applyProtection="1">
      <alignment horizontal="center" vertical="center"/>
    </xf>
    <xf numFmtId="0" fontId="0" fillId="0" borderId="13" xfId="0" applyFill="1" applyBorder="1" applyAlignment="1" applyProtection="1">
      <alignment vertical="center"/>
    </xf>
    <xf numFmtId="0" fontId="0" fillId="0" borderId="13" xfId="0" applyFill="1" applyBorder="1" applyProtection="1"/>
    <xf numFmtId="0" fontId="0" fillId="0" borderId="13" xfId="0" applyFill="1" applyBorder="1" applyAlignment="1" applyProtection="1">
      <alignment horizontal="center" vertical="center"/>
      <protection locked="0"/>
    </xf>
    <xf numFmtId="0" fontId="9" fillId="0" borderId="61" xfId="0" applyFont="1" applyFill="1" applyBorder="1" applyAlignment="1" applyProtection="1">
      <alignment horizontal="center" vertical="center"/>
    </xf>
    <xf numFmtId="0" fontId="9" fillId="0" borderId="62" xfId="0" applyFont="1" applyFill="1" applyBorder="1" applyAlignment="1" applyProtection="1">
      <alignment horizontal="center" vertical="center"/>
    </xf>
    <xf numFmtId="0" fontId="9" fillId="0" borderId="63" xfId="0" applyFont="1" applyFill="1" applyBorder="1" applyAlignment="1" applyProtection="1">
      <alignment horizontal="center" vertical="center"/>
    </xf>
    <xf numFmtId="16" fontId="0" fillId="0" borderId="64" xfId="0" applyNumberFormat="1" applyFill="1" applyBorder="1" applyAlignment="1" applyProtection="1">
      <alignment vertical="center"/>
      <protection locked="0"/>
    </xf>
    <xf numFmtId="0" fontId="0" fillId="0" borderId="65" xfId="0" applyFill="1" applyBorder="1" applyAlignment="1" applyProtection="1">
      <alignment vertical="center"/>
      <protection locked="0"/>
    </xf>
    <xf numFmtId="16" fontId="0" fillId="0" borderId="64" xfId="0" applyNumberFormat="1" applyFill="1" applyBorder="1" applyAlignment="1" applyProtection="1">
      <alignment horizontal="center" vertical="center"/>
      <protection locked="0"/>
    </xf>
    <xf numFmtId="0" fontId="0" fillId="0" borderId="65" xfId="0" applyFill="1" applyBorder="1" applyAlignment="1" applyProtection="1">
      <alignment horizontal="center" vertical="center"/>
      <protection locked="0"/>
    </xf>
    <xf numFmtId="16" fontId="0" fillId="0" borderId="66" xfId="0" applyNumberFormat="1" applyFill="1" applyBorder="1" applyAlignment="1" applyProtection="1">
      <alignment horizontal="center" vertical="center"/>
      <protection locked="0"/>
    </xf>
    <xf numFmtId="0" fontId="0" fillId="0" borderId="67" xfId="0" applyFill="1" applyBorder="1" applyAlignment="1" applyProtection="1">
      <alignment horizontal="center" vertical="center"/>
      <protection locked="0"/>
    </xf>
    <xf numFmtId="0" fontId="0" fillId="0" borderId="68" xfId="0" applyFill="1" applyBorder="1" applyAlignment="1" applyProtection="1">
      <alignment horizontal="center" vertical="center"/>
      <protection locked="0"/>
    </xf>
    <xf numFmtId="0" fontId="0" fillId="0" borderId="61" xfId="0" applyFill="1" applyBorder="1" applyAlignment="1" applyProtection="1">
      <alignment vertical="center"/>
    </xf>
    <xf numFmtId="0" fontId="0" fillId="0" borderId="62" xfId="0" applyFill="1" applyBorder="1" applyAlignment="1" applyProtection="1">
      <alignment vertical="center"/>
    </xf>
    <xf numFmtId="0" fontId="0" fillId="0" borderId="62" xfId="0" applyFill="1" applyBorder="1" applyProtection="1"/>
    <xf numFmtId="0" fontId="0" fillId="0" borderId="64" xfId="0" applyFill="1" applyBorder="1" applyAlignment="1" applyProtection="1">
      <alignment vertical="center"/>
    </xf>
    <xf numFmtId="0" fontId="0" fillId="0" borderId="66" xfId="0" applyFill="1" applyBorder="1" applyAlignment="1" applyProtection="1">
      <alignment vertical="center"/>
    </xf>
    <xf numFmtId="0" fontId="0" fillId="0" borderId="67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28" fillId="10" borderId="4" xfId="0" applyFont="1" applyFill="1" applyBorder="1" applyAlignment="1" applyProtection="1">
      <alignment vertical="center"/>
    </xf>
    <xf numFmtId="0" fontId="6" fillId="0" borderId="4" xfId="0" applyFont="1" applyFill="1" applyBorder="1" applyAlignment="1" applyProtection="1">
      <alignment vertical="center"/>
    </xf>
    <xf numFmtId="0" fontId="27" fillId="10" borderId="73" xfId="0" applyFont="1" applyFill="1" applyBorder="1" applyAlignment="1" applyProtection="1">
      <alignment horizontal="center" vertical="center"/>
    </xf>
    <xf numFmtId="0" fontId="0" fillId="0" borderId="74" xfId="0" applyFill="1" applyBorder="1" applyAlignment="1" applyProtection="1">
      <alignment horizontal="center" vertical="center"/>
    </xf>
    <xf numFmtId="0" fontId="27" fillId="10" borderId="74" xfId="0" applyFont="1" applyFill="1" applyBorder="1" applyAlignment="1" applyProtection="1">
      <alignment horizontal="center" vertical="center"/>
    </xf>
    <xf numFmtId="0" fontId="6" fillId="0" borderId="74" xfId="0" applyFont="1" applyFill="1" applyBorder="1" applyAlignment="1" applyProtection="1">
      <alignment horizontal="center" vertical="center"/>
    </xf>
    <xf numFmtId="0" fontId="0" fillId="0" borderId="75" xfId="0" applyFill="1" applyBorder="1" applyAlignment="1" applyProtection="1">
      <alignment horizontal="center" vertical="center"/>
    </xf>
    <xf numFmtId="174" fontId="6" fillId="0" borderId="13" xfId="3" applyNumberFormat="1" applyFont="1" applyFill="1" applyBorder="1" applyAlignment="1" applyProtection="1">
      <alignment horizontal="center" vertical="center"/>
      <protection hidden="1"/>
    </xf>
    <xf numFmtId="174" fontId="6" fillId="0" borderId="13" xfId="3" applyNumberFormat="1" applyFont="1" applyFill="1" applyBorder="1" applyAlignment="1" applyProtection="1">
      <alignment vertical="center"/>
      <protection hidden="1"/>
    </xf>
    <xf numFmtId="0" fontId="6" fillId="0" borderId="54" xfId="2" applyFont="1" applyFill="1" applyBorder="1" applyAlignment="1" applyProtection="1">
      <alignment vertical="center"/>
      <protection hidden="1"/>
    </xf>
    <xf numFmtId="0" fontId="6" fillId="0" borderId="10" xfId="2" applyFont="1" applyFill="1" applyBorder="1" applyAlignment="1" applyProtection="1">
      <alignment vertical="center"/>
      <protection hidden="1"/>
    </xf>
    <xf numFmtId="0" fontId="6" fillId="0" borderId="55" xfId="2" applyFont="1" applyFill="1" applyBorder="1" applyAlignment="1" applyProtection="1">
      <alignment vertical="center"/>
      <protection hidden="1"/>
    </xf>
    <xf numFmtId="1" fontId="3" fillId="0" borderId="8" xfId="3" applyNumberFormat="1" applyFont="1" applyFill="1" applyBorder="1" applyAlignment="1" applyProtection="1">
      <alignment horizontal="center" vertical="center"/>
      <protection hidden="1"/>
    </xf>
    <xf numFmtId="0" fontId="3" fillId="0" borderId="13" xfId="2" applyFont="1" applyBorder="1" applyAlignment="1" applyProtection="1">
      <alignment horizontal="center" vertical="center"/>
      <protection hidden="1"/>
    </xf>
    <xf numFmtId="0" fontId="6" fillId="0" borderId="49" xfId="2" applyFont="1" applyFill="1" applyBorder="1" applyAlignment="1" applyProtection="1">
      <alignment vertical="center"/>
      <protection hidden="1"/>
    </xf>
    <xf numFmtId="0" fontId="6" fillId="0" borderId="0" xfId="2" applyFont="1" applyFill="1" applyBorder="1" applyAlignment="1" applyProtection="1">
      <alignment vertical="center"/>
      <protection hidden="1"/>
    </xf>
    <xf numFmtId="0" fontId="6" fillId="0" borderId="52" xfId="2" applyFont="1" applyFill="1" applyBorder="1" applyAlignment="1" applyProtection="1">
      <alignment vertical="center"/>
      <protection hidden="1"/>
    </xf>
    <xf numFmtId="1" fontId="3" fillId="0" borderId="13" xfId="3" applyNumberFormat="1" applyFont="1" applyFill="1" applyBorder="1" applyAlignment="1" applyProtection="1">
      <alignment horizontal="center" vertical="center"/>
      <protection hidden="1"/>
    </xf>
    <xf numFmtId="43" fontId="6" fillId="0" borderId="3" xfId="2" applyNumberFormat="1" applyFont="1" applyFill="1" applyBorder="1" applyAlignment="1" applyProtection="1">
      <alignment vertical="center"/>
      <protection hidden="1"/>
    </xf>
    <xf numFmtId="1" fontId="3" fillId="0" borderId="13" xfId="3" applyNumberFormat="1" applyFont="1" applyFill="1" applyBorder="1" applyAlignment="1" applyProtection="1">
      <alignment horizontal="center" vertical="center" wrapText="1"/>
      <protection hidden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0" fillId="0" borderId="4" xfId="0" applyFill="1" applyBorder="1" applyAlignment="1" applyProtection="1">
      <alignment horizontal="center" vertical="center"/>
      <protection locked="0"/>
    </xf>
    <xf numFmtId="1" fontId="2" fillId="0" borderId="3" xfId="3" applyNumberFormat="1" applyFont="1" applyFill="1" applyBorder="1" applyAlignment="1" applyProtection="1">
      <alignment horizontal="left" vertical="center"/>
      <protection hidden="1"/>
    </xf>
    <xf numFmtId="0" fontId="2" fillId="0" borderId="49" xfId="2" applyFont="1" applyBorder="1" applyAlignment="1" applyProtection="1">
      <alignment vertical="center"/>
      <protection hidden="1"/>
    </xf>
    <xf numFmtId="16" fontId="36" fillId="0" borderId="3" xfId="10" applyNumberFormat="1" applyFill="1" applyBorder="1" applyAlignment="1" applyProtection="1">
      <alignment horizontal="center" vertical="center"/>
      <protection locked="0"/>
    </xf>
    <xf numFmtId="0" fontId="36" fillId="0" borderId="4" xfId="10" applyFill="1" applyBorder="1" applyAlignment="1" applyProtection="1">
      <alignment horizontal="center" vertical="center"/>
      <protection locked="0"/>
    </xf>
    <xf numFmtId="0" fontId="36" fillId="0" borderId="8" xfId="10" applyFill="1" applyBorder="1" applyAlignment="1" applyProtection="1">
      <alignment horizontal="center" vertical="center"/>
      <protection locked="0"/>
    </xf>
    <xf numFmtId="0" fontId="36" fillId="0" borderId="5" xfId="10" applyFill="1" applyBorder="1" applyAlignment="1" applyProtection="1">
      <alignment horizontal="center" vertical="center"/>
      <protection locked="0"/>
    </xf>
    <xf numFmtId="0" fontId="0" fillId="11" borderId="13" xfId="0" applyFill="1" applyBorder="1" applyAlignment="1" applyProtection="1">
      <alignment vertical="center"/>
      <protection locked="0"/>
    </xf>
    <xf numFmtId="16" fontId="0" fillId="11" borderId="64" xfId="0" applyNumberFormat="1" applyFill="1" applyBorder="1" applyAlignment="1" applyProtection="1">
      <alignment horizontal="center" vertical="center"/>
      <protection locked="0"/>
    </xf>
    <xf numFmtId="0" fontId="0" fillId="11" borderId="13" xfId="0" applyFill="1" applyBorder="1" applyAlignment="1" applyProtection="1">
      <alignment horizontal="center" vertical="center"/>
      <protection locked="0"/>
    </xf>
    <xf numFmtId="0" fontId="0" fillId="11" borderId="65" xfId="0" applyFill="1" applyBorder="1" applyAlignment="1" applyProtection="1">
      <alignment horizontal="center" vertical="center"/>
      <protection locked="0"/>
    </xf>
    <xf numFmtId="0" fontId="0" fillId="0" borderId="18" xfId="0" applyFill="1" applyBorder="1" applyProtection="1"/>
    <xf numFmtId="0" fontId="0" fillId="0" borderId="18" xfId="0" applyFill="1" applyBorder="1" applyAlignment="1" applyProtection="1">
      <alignment vertical="center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11" borderId="64" xfId="0" applyFill="1" applyBorder="1" applyAlignment="1" applyProtection="1">
      <alignment vertical="center"/>
    </xf>
    <xf numFmtId="0" fontId="0" fillId="3" borderId="65" xfId="0" applyFill="1" applyBorder="1" applyAlignment="1" applyProtection="1">
      <alignment horizontal="center" vertical="center"/>
      <protection locked="0"/>
    </xf>
    <xf numFmtId="16" fontId="0" fillId="3" borderId="64" xfId="0" applyNumberFormat="1" applyFill="1" applyBorder="1" applyAlignment="1" applyProtection="1">
      <alignment horizontal="center" vertical="center"/>
      <protection locked="0"/>
    </xf>
    <xf numFmtId="0" fontId="0" fillId="3" borderId="64" xfId="0" applyFill="1" applyBorder="1" applyAlignment="1" applyProtection="1">
      <alignment vertical="center"/>
    </xf>
    <xf numFmtId="0" fontId="0" fillId="3" borderId="13" xfId="0" applyFill="1" applyBorder="1" applyAlignment="1" applyProtection="1">
      <alignment vertical="center"/>
    </xf>
    <xf numFmtId="0" fontId="0" fillId="3" borderId="13" xfId="0" applyFill="1" applyBorder="1" applyProtection="1"/>
    <xf numFmtId="0" fontId="0" fillId="11" borderId="13" xfId="0" applyFill="1" applyBorder="1" applyAlignment="1" applyProtection="1">
      <alignment vertical="center"/>
    </xf>
    <xf numFmtId="0" fontId="0" fillId="11" borderId="13" xfId="0" applyFill="1" applyBorder="1" applyProtection="1"/>
    <xf numFmtId="0" fontId="0" fillId="0" borderId="76" xfId="0" applyFill="1" applyBorder="1" applyProtection="1"/>
    <xf numFmtId="0" fontId="0" fillId="3" borderId="18" xfId="0" applyFill="1" applyBorder="1" applyProtection="1"/>
    <xf numFmtId="0" fontId="0" fillId="11" borderId="18" xfId="0" applyFill="1" applyBorder="1" applyProtection="1"/>
    <xf numFmtId="0" fontId="0" fillId="11" borderId="11" xfId="0" applyFill="1" applyBorder="1" applyAlignment="1" applyProtection="1">
      <alignment vertical="center"/>
    </xf>
    <xf numFmtId="0" fontId="0" fillId="11" borderId="77" xfId="0" applyFill="1" applyBorder="1" applyAlignment="1" applyProtection="1">
      <alignment vertical="center"/>
    </xf>
    <xf numFmtId="0" fontId="6" fillId="0" borderId="4" xfId="1" applyFont="1" applyFill="1" applyBorder="1" applyAlignment="1">
      <alignment horizontal="left" wrapText="1"/>
    </xf>
    <xf numFmtId="0" fontId="6" fillId="0" borderId="8" xfId="1" applyFont="1" applyFill="1" applyBorder="1" applyAlignment="1">
      <alignment horizontal="left" wrapText="1"/>
    </xf>
    <xf numFmtId="0" fontId="28" fillId="10" borderId="4" xfId="0" applyFont="1" applyFill="1" applyBorder="1" applyAlignment="1" applyProtection="1">
      <alignment horizontal="left" vertical="center"/>
    </xf>
    <xf numFmtId="0" fontId="28" fillId="10" borderId="8" xfId="0" applyFont="1" applyFill="1" applyBorder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0" fillId="0" borderId="57" xfId="0" applyFill="1" applyBorder="1" applyAlignment="1" applyProtection="1">
      <alignment vertical="center"/>
      <protection locked="0"/>
    </xf>
    <xf numFmtId="0" fontId="0" fillId="0" borderId="14" xfId="0" applyFill="1" applyBorder="1" applyAlignment="1" applyProtection="1">
      <alignment vertical="center"/>
      <protection locked="0"/>
    </xf>
    <xf numFmtId="0" fontId="0" fillId="0" borderId="15" xfId="0" applyFill="1" applyBorder="1" applyAlignment="1" applyProtection="1">
      <alignment vertical="center"/>
      <protection locked="0"/>
    </xf>
    <xf numFmtId="0" fontId="11" fillId="0" borderId="53" xfId="0" applyFont="1" applyFill="1" applyBorder="1" applyAlignment="1" applyProtection="1">
      <alignment vertical="center"/>
    </xf>
    <xf numFmtId="0" fontId="0" fillId="0" borderId="14" xfId="0" applyFill="1" applyBorder="1" applyAlignment="1" applyProtection="1">
      <alignment vertical="center"/>
    </xf>
    <xf numFmtId="0" fontId="0" fillId="0" borderId="15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49" xfId="0" applyFill="1" applyBorder="1" applyAlignment="1" applyProtection="1">
      <alignment vertical="center"/>
      <protection locked="0"/>
    </xf>
    <xf numFmtId="0" fontId="0" fillId="0" borderId="11" xfId="0" applyFill="1" applyBorder="1" applyAlignment="1" applyProtection="1">
      <alignment vertical="center"/>
      <protection locked="0"/>
    </xf>
    <xf numFmtId="0" fontId="11" fillId="0" borderId="49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vertical="center"/>
    </xf>
    <xf numFmtId="0" fontId="11" fillId="0" borderId="52" xfId="0" applyFont="1" applyFill="1" applyBorder="1" applyAlignment="1" applyProtection="1">
      <alignment vertical="center"/>
    </xf>
    <xf numFmtId="0" fontId="11" fillId="0" borderId="11" xfId="0" applyFont="1" applyFill="1" applyBorder="1" applyAlignment="1" applyProtection="1">
      <alignment vertical="center"/>
    </xf>
    <xf numFmtId="0" fontId="0" fillId="0" borderId="12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vertical="center"/>
    </xf>
    <xf numFmtId="0" fontId="12" fillId="0" borderId="11" xfId="0" applyFont="1" applyFill="1" applyBorder="1" applyAlignment="1" applyProtection="1">
      <alignment vertical="center"/>
    </xf>
    <xf numFmtId="0" fontId="0" fillId="0" borderId="11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11" xfId="0" applyFill="1" applyBorder="1" applyAlignment="1" applyProtection="1">
      <alignment horizontal="center" vertical="center"/>
      <protection locked="0"/>
    </xf>
    <xf numFmtId="0" fontId="6" fillId="0" borderId="49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11" xfId="0" applyFont="1" applyFill="1" applyBorder="1" applyAlignment="1" applyProtection="1">
      <alignment horizontal="left" vertical="center"/>
      <protection locked="0"/>
    </xf>
    <xf numFmtId="0" fontId="0" fillId="0" borderId="49" xfId="0" applyFill="1" applyBorder="1" applyAlignment="1" applyProtection="1">
      <alignment vertical="center"/>
    </xf>
    <xf numFmtId="0" fontId="0" fillId="0" borderId="52" xfId="0" applyFill="1" applyBorder="1" applyAlignment="1" applyProtection="1">
      <alignment vertical="center"/>
    </xf>
    <xf numFmtId="0" fontId="15" fillId="0" borderId="12" xfId="0" applyFont="1" applyFill="1" applyBorder="1" applyAlignment="1" applyProtection="1">
      <alignment vertical="center"/>
    </xf>
    <xf numFmtId="0" fontId="15" fillId="0" borderId="0" xfId="0" applyFont="1" applyFill="1" applyBorder="1" applyAlignment="1" applyProtection="1">
      <alignment vertical="center"/>
    </xf>
    <xf numFmtId="0" fontId="15" fillId="0" borderId="11" xfId="0" applyFont="1" applyFill="1" applyBorder="1" applyAlignment="1" applyProtection="1">
      <alignment vertical="center"/>
    </xf>
    <xf numFmtId="0" fontId="15" fillId="0" borderId="53" xfId="0" applyFont="1" applyFill="1" applyBorder="1" applyAlignment="1" applyProtection="1">
      <alignment vertical="center"/>
    </xf>
    <xf numFmtId="0" fontId="15" fillId="0" borderId="14" xfId="0" applyFont="1" applyFill="1" applyBorder="1" applyAlignment="1" applyProtection="1">
      <alignment vertical="center"/>
    </xf>
    <xf numFmtId="0" fontId="15" fillId="0" borderId="15" xfId="0" applyFont="1" applyFill="1" applyBorder="1" applyAlignment="1" applyProtection="1">
      <alignment vertical="center"/>
    </xf>
    <xf numFmtId="0" fontId="10" fillId="9" borderId="22" xfId="0" applyFont="1" applyFill="1" applyBorder="1" applyAlignment="1" applyProtection="1">
      <alignment horizontal="center" vertical="center"/>
    </xf>
    <xf numFmtId="0" fontId="10" fillId="9" borderId="23" xfId="0" applyFont="1" applyFill="1" applyBorder="1" applyAlignment="1" applyProtection="1">
      <alignment horizontal="center" vertical="center"/>
    </xf>
    <xf numFmtId="0" fontId="10" fillId="9" borderId="46" xfId="0" applyFont="1" applyFill="1" applyBorder="1" applyAlignment="1" applyProtection="1">
      <alignment horizontal="center" vertical="center"/>
    </xf>
    <xf numFmtId="0" fontId="10" fillId="9" borderId="47" xfId="0" applyFont="1" applyFill="1" applyBorder="1" applyAlignment="1" applyProtection="1">
      <alignment horizontal="center" vertical="center"/>
    </xf>
    <xf numFmtId="0" fontId="10" fillId="9" borderId="24" xfId="0" applyFont="1" applyFill="1" applyBorder="1" applyAlignment="1" applyProtection="1">
      <alignment horizontal="center" vertical="center"/>
    </xf>
    <xf numFmtId="0" fontId="10" fillId="9" borderId="2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 applyProtection="1">
      <alignment horizontal="center" vertical="center"/>
      <protection locked="0"/>
    </xf>
    <xf numFmtId="0" fontId="11" fillId="0" borderId="49" xfId="0" applyFont="1" applyFill="1" applyBorder="1" applyAlignment="1" applyProtection="1">
      <alignment vertical="center"/>
      <protection locked="0"/>
    </xf>
    <xf numFmtId="0" fontId="12" fillId="9" borderId="34" xfId="0" applyFont="1" applyFill="1" applyBorder="1" applyAlignment="1" applyProtection="1">
      <alignment horizontal="center" vertical="center"/>
    </xf>
    <xf numFmtId="0" fontId="12" fillId="9" borderId="6" xfId="0" applyFont="1" applyFill="1" applyBorder="1" applyAlignment="1" applyProtection="1">
      <alignment horizontal="center" vertical="center"/>
    </xf>
    <xf numFmtId="0" fontId="10" fillId="9" borderId="35" xfId="0" applyFont="1" applyFill="1" applyBorder="1" applyAlignment="1" applyProtection="1">
      <alignment horizontal="center" vertical="center"/>
    </xf>
    <xf numFmtId="0" fontId="10" fillId="9" borderId="1" xfId="0" applyFont="1" applyFill="1" applyBorder="1" applyAlignment="1" applyProtection="1">
      <alignment horizontal="center" vertical="center"/>
    </xf>
    <xf numFmtId="0" fontId="11" fillId="0" borderId="54" xfId="0" applyFont="1" applyFill="1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left" vertical="center"/>
      <protection locked="0"/>
    </xf>
    <xf numFmtId="0" fontId="11" fillId="0" borderId="50" xfId="0" applyFont="1" applyFill="1" applyBorder="1" applyAlignment="1" applyProtection="1">
      <alignment horizontal="left" vertical="center"/>
      <protection locked="0"/>
    </xf>
    <xf numFmtId="0" fontId="8" fillId="9" borderId="22" xfId="0" applyFont="1" applyFill="1" applyBorder="1" applyAlignment="1" applyProtection="1">
      <alignment horizontal="center" vertical="center"/>
    </xf>
    <xf numFmtId="0" fontId="8" fillId="9" borderId="23" xfId="0" applyFont="1" applyFill="1" applyBorder="1" applyAlignment="1" applyProtection="1">
      <alignment horizontal="center" vertical="center"/>
    </xf>
    <xf numFmtId="0" fontId="8" fillId="9" borderId="47" xfId="0" applyFont="1" applyFill="1" applyBorder="1" applyAlignment="1" applyProtection="1">
      <alignment horizontal="center" vertical="center"/>
    </xf>
    <xf numFmtId="0" fontId="8" fillId="9" borderId="24" xfId="0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</xf>
    <xf numFmtId="0" fontId="12" fillId="9" borderId="24" xfId="0" applyFont="1" applyFill="1" applyBorder="1" applyAlignment="1" applyProtection="1">
      <alignment horizontal="center" vertical="center"/>
    </xf>
    <xf numFmtId="0" fontId="12" fillId="9" borderId="37" xfId="0" applyFon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left" vertical="center"/>
      <protection locked="0"/>
    </xf>
    <xf numFmtId="0" fontId="0" fillId="0" borderId="4" xfId="0" applyFill="1" applyBorder="1" applyAlignment="1" applyProtection="1">
      <alignment horizontal="left" vertical="center"/>
      <protection locked="0"/>
    </xf>
    <xf numFmtId="0" fontId="0" fillId="0" borderId="8" xfId="0" applyFill="1" applyBorder="1" applyAlignment="1" applyProtection="1">
      <alignment horizontal="left" vertical="center"/>
      <protection locked="0"/>
    </xf>
    <xf numFmtId="0" fontId="0" fillId="0" borderId="43" xfId="0" applyFill="1" applyBorder="1" applyAlignment="1" applyProtection="1">
      <alignment vertical="center"/>
      <protection locked="0"/>
    </xf>
    <xf numFmtId="0" fontId="0" fillId="0" borderId="44" xfId="0" applyFill="1" applyBorder="1" applyAlignment="1" applyProtection="1">
      <alignment vertical="center"/>
      <protection locked="0"/>
    </xf>
    <xf numFmtId="0" fontId="9" fillId="9" borderId="3" xfId="0" applyFont="1" applyFill="1" applyBorder="1" applyAlignment="1" applyProtection="1">
      <alignment horizontal="center" vertical="center"/>
    </xf>
    <xf numFmtId="0" fontId="9" fillId="9" borderId="4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/>
    </xf>
    <xf numFmtId="16" fontId="36" fillId="0" borderId="3" xfId="10" applyNumberFormat="1" applyFill="1" applyBorder="1" applyAlignment="1" applyProtection="1">
      <alignment horizontal="center" vertical="center"/>
      <protection locked="0"/>
    </xf>
    <xf numFmtId="0" fontId="36" fillId="0" borderId="4" xfId="10" applyFill="1" applyBorder="1" applyAlignment="1" applyProtection="1">
      <alignment horizontal="center" vertical="center"/>
      <protection locked="0"/>
    </xf>
    <xf numFmtId="0" fontId="36" fillId="0" borderId="8" xfId="10" applyFill="1" applyBorder="1" applyAlignment="1" applyProtection="1">
      <alignment horizontal="center" vertical="center"/>
      <protection locked="0"/>
    </xf>
    <xf numFmtId="0" fontId="36" fillId="0" borderId="5" xfId="10" applyFill="1" applyBorder="1" applyAlignment="1" applyProtection="1">
      <alignment horizontal="center" vertical="center"/>
      <protection locked="0"/>
    </xf>
    <xf numFmtId="0" fontId="8" fillId="9" borderId="12" xfId="0" applyFont="1" applyFill="1" applyBorder="1" applyAlignment="1" applyProtection="1">
      <alignment horizontal="center" vertical="center"/>
    </xf>
    <xf numFmtId="0" fontId="8" fillId="9" borderId="0" xfId="0" applyFont="1" applyFill="1" applyBorder="1" applyAlignment="1" applyProtection="1">
      <alignment horizontal="center" vertical="center"/>
    </xf>
    <xf numFmtId="0" fontId="8" fillId="9" borderId="46" xfId="0" applyFont="1" applyFill="1" applyBorder="1" applyAlignment="1" applyProtection="1">
      <alignment horizontal="center" vertical="center"/>
    </xf>
    <xf numFmtId="0" fontId="8" fillId="9" borderId="2" xfId="0" applyFont="1" applyFill="1" applyBorder="1" applyAlignment="1" applyProtection="1">
      <alignment horizontal="center" vertical="center"/>
    </xf>
    <xf numFmtId="0" fontId="12" fillId="9" borderId="48" xfId="0" applyFont="1" applyFill="1" applyBorder="1" applyAlignment="1" applyProtection="1">
      <alignment horizontal="center" vertical="center"/>
    </xf>
    <xf numFmtId="0" fontId="9" fillId="9" borderId="54" xfId="0" applyFont="1" applyFill="1" applyBorder="1" applyAlignment="1" applyProtection="1">
      <alignment horizontal="center" wrapText="1"/>
    </xf>
    <xf numFmtId="0" fontId="9" fillId="9" borderId="10" xfId="0" applyFont="1" applyFill="1" applyBorder="1" applyAlignment="1" applyProtection="1">
      <alignment horizontal="center" wrapText="1"/>
    </xf>
    <xf numFmtId="0" fontId="9" fillId="9" borderId="50" xfId="0" applyFont="1" applyFill="1" applyBorder="1" applyAlignment="1" applyProtection="1">
      <alignment horizontal="center" wrapText="1"/>
    </xf>
    <xf numFmtId="0" fontId="9" fillId="9" borderId="1" xfId="0" applyFont="1" applyFill="1" applyBorder="1" applyAlignment="1" applyProtection="1">
      <alignment horizontal="center" wrapText="1"/>
    </xf>
    <xf numFmtId="0" fontId="9" fillId="9" borderId="24" xfId="0" applyFont="1" applyFill="1" applyBorder="1" applyAlignment="1" applyProtection="1">
      <alignment horizontal="center" wrapText="1"/>
    </xf>
    <xf numFmtId="0" fontId="9" fillId="9" borderId="2" xfId="0" applyFont="1" applyFill="1" applyBorder="1" applyAlignment="1" applyProtection="1">
      <alignment horizontal="center" wrapText="1"/>
    </xf>
    <xf numFmtId="0" fontId="6" fillId="0" borderId="4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 wrapText="1"/>
    </xf>
    <xf numFmtId="0" fontId="7" fillId="9" borderId="26" xfId="0" applyFont="1" applyFill="1" applyBorder="1" applyAlignment="1" applyProtection="1">
      <alignment horizontal="center" vertical="center"/>
    </xf>
    <xf numFmtId="0" fontId="7" fillId="9" borderId="27" xfId="0" applyFont="1" applyFill="1" applyBorder="1" applyAlignment="1" applyProtection="1">
      <alignment horizontal="center" vertical="center"/>
    </xf>
    <xf numFmtId="0" fontId="7" fillId="9" borderId="28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29" xfId="0" applyFill="1" applyBorder="1" applyAlignment="1" applyProtection="1">
      <alignment horizontal="left" vertical="center"/>
    </xf>
    <xf numFmtId="0" fontId="6" fillId="0" borderId="30" xfId="0" applyFont="1" applyFill="1" applyBorder="1" applyAlignment="1" applyProtection="1">
      <alignment horizontal="left" vertical="center"/>
    </xf>
    <xf numFmtId="0" fontId="6" fillId="0" borderId="31" xfId="0" applyFont="1" applyFill="1" applyBorder="1" applyAlignment="1" applyProtection="1">
      <alignment horizontal="left" vertical="center"/>
    </xf>
    <xf numFmtId="0" fontId="6" fillId="0" borderId="32" xfId="0" applyFont="1" applyFill="1" applyBorder="1" applyAlignment="1" applyProtection="1">
      <alignment horizontal="left" vertical="center"/>
      <protection locked="0"/>
    </xf>
    <xf numFmtId="0" fontId="6" fillId="0" borderId="30" xfId="0" applyFont="1" applyFill="1" applyBorder="1" applyAlignment="1" applyProtection="1">
      <alignment horizontal="left" vertical="center"/>
      <protection locked="0"/>
    </xf>
    <xf numFmtId="0" fontId="6" fillId="0" borderId="33" xfId="0" applyFont="1" applyFill="1" applyBorder="1" applyAlignment="1" applyProtection="1">
      <alignment horizontal="left" vertical="center"/>
      <protection locked="0"/>
    </xf>
    <xf numFmtId="0" fontId="0" fillId="0" borderId="25" xfId="0" applyFill="1" applyBorder="1" applyAlignment="1" applyProtection="1">
      <alignment horizontal="left" vertical="center"/>
    </xf>
    <xf numFmtId="0" fontId="6" fillId="0" borderId="4" xfId="0" applyFont="1" applyFill="1" applyBorder="1" applyAlignment="1" applyProtection="1">
      <alignment horizontal="left" vertical="center"/>
    </xf>
    <xf numFmtId="0" fontId="6" fillId="0" borderId="8" xfId="0" applyFont="1" applyFill="1" applyBorder="1" applyAlignment="1" applyProtection="1">
      <alignment horizontal="left" vertical="center"/>
    </xf>
    <xf numFmtId="0" fontId="8" fillId="9" borderId="22" xfId="0" applyFont="1" applyFill="1" applyBorder="1" applyAlignment="1" applyProtection="1">
      <alignment horizontal="left" vertical="center"/>
    </xf>
    <xf numFmtId="0" fontId="8" fillId="9" borderId="56" xfId="0" applyFont="1" applyFill="1" applyBorder="1" applyAlignment="1" applyProtection="1">
      <alignment horizontal="left" vertical="center"/>
    </xf>
    <xf numFmtId="0" fontId="9" fillId="0" borderId="41" xfId="0" applyFont="1" applyFill="1" applyBorder="1" applyAlignment="1" applyProtection="1">
      <alignment horizontal="left" vertical="center"/>
      <protection locked="0"/>
    </xf>
    <xf numFmtId="0" fontId="9" fillId="0" borderId="42" xfId="0" applyFont="1" applyFill="1" applyBorder="1" applyAlignment="1" applyProtection="1">
      <alignment horizontal="left" vertical="center"/>
      <protection locked="0"/>
    </xf>
    <xf numFmtId="0" fontId="12" fillId="9" borderId="72" xfId="0" applyFont="1" applyFill="1" applyBorder="1" applyAlignment="1" applyProtection="1">
      <alignment horizontal="center" vertical="center"/>
    </xf>
    <xf numFmtId="0" fontId="12" fillId="9" borderId="73" xfId="0" applyFont="1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left" vertical="center"/>
    </xf>
    <xf numFmtId="0" fontId="0" fillId="0" borderId="8" xfId="0" applyFill="1" applyBorder="1" applyAlignment="1" applyProtection="1">
      <alignment horizontal="left" vertical="center"/>
    </xf>
    <xf numFmtId="16" fontId="6" fillId="0" borderId="3" xfId="0" applyNumberFormat="1" applyFont="1" applyFill="1" applyBorder="1" applyAlignment="1" applyProtection="1">
      <alignment horizontal="left" vertical="center"/>
      <protection locked="0"/>
    </xf>
    <xf numFmtId="0" fontId="0" fillId="0" borderId="5" xfId="0" applyFill="1" applyBorder="1" applyAlignment="1" applyProtection="1">
      <alignment horizontal="left" vertical="center"/>
      <protection locked="0"/>
    </xf>
    <xf numFmtId="16" fontId="11" fillId="0" borderId="3" xfId="0" applyNumberFormat="1" applyFont="1" applyFill="1" applyBorder="1" applyAlignment="1" applyProtection="1">
      <alignment horizontal="left" vertical="center"/>
      <protection locked="0"/>
    </xf>
    <xf numFmtId="0" fontId="11" fillId="0" borderId="25" xfId="0" applyFont="1" applyFill="1" applyBorder="1" applyAlignment="1" applyProtection="1">
      <alignment horizontal="left" vertical="center"/>
    </xf>
    <xf numFmtId="16" fontId="0" fillId="0" borderId="3" xfId="0" applyNumberFormat="1" applyFill="1" applyBorder="1" applyAlignment="1" applyProtection="1">
      <alignment horizontal="left" vertical="center"/>
      <protection locked="0"/>
    </xf>
    <xf numFmtId="0" fontId="10" fillId="9" borderId="36" xfId="0" applyFont="1" applyFill="1" applyBorder="1" applyAlignment="1" applyProtection="1">
      <alignment horizontal="center" vertical="center"/>
    </xf>
    <xf numFmtId="0" fontId="10" fillId="9" borderId="37" xfId="0" applyFont="1" applyFill="1" applyBorder="1" applyAlignment="1" applyProtection="1">
      <alignment horizontal="center" vertical="center"/>
    </xf>
    <xf numFmtId="0" fontId="9" fillId="9" borderId="38" xfId="0" applyFont="1" applyFill="1" applyBorder="1" applyAlignment="1" applyProtection="1">
      <alignment horizontal="center" vertical="center"/>
    </xf>
    <xf numFmtId="0" fontId="9" fillId="9" borderId="39" xfId="0" applyFont="1" applyFill="1" applyBorder="1" applyAlignment="1" applyProtection="1">
      <alignment horizontal="center" vertical="center"/>
    </xf>
    <xf numFmtId="0" fontId="9" fillId="9" borderId="40" xfId="0" applyFont="1" applyFill="1" applyBorder="1" applyAlignment="1" applyProtection="1">
      <alignment horizontal="center" vertical="center"/>
    </xf>
    <xf numFmtId="0" fontId="9" fillId="9" borderId="8" xfId="0" applyFont="1" applyFill="1" applyBorder="1" applyAlignment="1" applyProtection="1">
      <alignment horizontal="center" vertical="center"/>
    </xf>
    <xf numFmtId="16" fontId="0" fillId="0" borderId="3" xfId="10" applyNumberFormat="1" applyFont="1" applyFill="1" applyBorder="1" applyAlignment="1" applyProtection="1">
      <alignment horizontal="center" vertical="center"/>
      <protection locked="0"/>
    </xf>
    <xf numFmtId="16" fontId="6" fillId="0" borderId="3" xfId="10" applyNumberFormat="1" applyFont="1" applyFill="1" applyBorder="1" applyAlignment="1" applyProtection="1">
      <alignment horizontal="center" vertical="center"/>
      <protection locked="0"/>
    </xf>
    <xf numFmtId="0" fontId="6" fillId="0" borderId="4" xfId="10" applyFont="1" applyFill="1" applyBorder="1" applyAlignment="1" applyProtection="1">
      <alignment horizontal="center" vertical="center"/>
      <protection locked="0"/>
    </xf>
    <xf numFmtId="0" fontId="6" fillId="0" borderId="8" xfId="10" applyFont="1" applyFill="1" applyBorder="1" applyAlignment="1" applyProtection="1">
      <alignment horizontal="center" vertical="center"/>
      <protection locked="0"/>
    </xf>
    <xf numFmtId="0" fontId="6" fillId="0" borderId="5" xfId="10" applyFont="1" applyFill="1" applyBorder="1" applyAlignment="1" applyProtection="1">
      <alignment horizontal="center" vertical="center"/>
      <protection locked="0"/>
    </xf>
    <xf numFmtId="0" fontId="12" fillId="8" borderId="13" xfId="2" applyFont="1" applyFill="1" applyBorder="1" applyAlignment="1" applyProtection="1">
      <alignment horizontal="left" vertical="center"/>
      <protection hidden="1"/>
    </xf>
    <xf numFmtId="0" fontId="12" fillId="8" borderId="3" xfId="2" applyFont="1" applyFill="1" applyBorder="1" applyAlignment="1" applyProtection="1">
      <alignment horizontal="left" vertical="center"/>
      <protection hidden="1"/>
    </xf>
    <xf numFmtId="0" fontId="12" fillId="8" borderId="4" xfId="2" applyFont="1" applyFill="1" applyBorder="1" applyAlignment="1" applyProtection="1">
      <alignment horizontal="left" vertical="center"/>
      <protection hidden="1"/>
    </xf>
    <xf numFmtId="0" fontId="12" fillId="8" borderId="8" xfId="2" applyFont="1" applyFill="1" applyBorder="1" applyAlignment="1" applyProtection="1">
      <alignment horizontal="left" vertical="center"/>
      <protection hidden="1"/>
    </xf>
    <xf numFmtId="0" fontId="12" fillId="0" borderId="0" xfId="2" applyFont="1" applyFill="1" applyBorder="1" applyAlignment="1" applyProtection="1">
      <alignment horizontal="center" vertical="center" wrapText="1"/>
      <protection hidden="1"/>
    </xf>
    <xf numFmtId="0" fontId="21" fillId="9" borderId="3" xfId="2" applyFont="1" applyFill="1" applyBorder="1" applyAlignment="1" applyProtection="1">
      <alignment horizontal="center" vertical="center"/>
      <protection hidden="1"/>
    </xf>
    <xf numFmtId="0" fontId="21" fillId="9" borderId="4" xfId="2" applyFont="1" applyFill="1" applyBorder="1" applyAlignment="1" applyProtection="1">
      <alignment horizontal="center" vertical="center"/>
      <protection hidden="1"/>
    </xf>
    <xf numFmtId="0" fontId="21" fillId="9" borderId="8" xfId="2" applyFont="1" applyFill="1" applyBorder="1" applyAlignment="1" applyProtection="1">
      <alignment horizontal="center" vertical="center"/>
      <protection hidden="1"/>
    </xf>
    <xf numFmtId="0" fontId="20" fillId="9" borderId="13" xfId="2" applyFont="1" applyFill="1" applyBorder="1" applyAlignment="1" applyProtection="1">
      <alignment horizontal="center" vertical="center"/>
      <protection hidden="1"/>
    </xf>
    <xf numFmtId="0" fontId="12" fillId="4" borderId="3" xfId="2" applyFont="1" applyFill="1" applyBorder="1" applyAlignment="1" applyProtection="1">
      <alignment horizontal="center" vertical="center" wrapText="1"/>
      <protection hidden="1"/>
    </xf>
    <xf numFmtId="0" fontId="12" fillId="4" borderId="4" xfId="2" applyFont="1" applyFill="1" applyBorder="1" applyAlignment="1" applyProtection="1">
      <alignment horizontal="center" vertical="center" wrapText="1"/>
      <protection hidden="1"/>
    </xf>
    <xf numFmtId="0" fontId="12" fillId="4" borderId="8" xfId="2" applyFont="1" applyFill="1" applyBorder="1" applyAlignment="1" applyProtection="1">
      <alignment horizontal="center" vertical="center" wrapText="1"/>
      <protection hidden="1"/>
    </xf>
    <xf numFmtId="0" fontId="24" fillId="9" borderId="3" xfId="2" applyFont="1" applyFill="1" applyBorder="1" applyAlignment="1" applyProtection="1">
      <alignment horizontal="left" vertical="center"/>
      <protection hidden="1"/>
    </xf>
    <xf numFmtId="0" fontId="24" fillId="9" borderId="4" xfId="2" applyFont="1" applyFill="1" applyBorder="1" applyAlignment="1" applyProtection="1">
      <alignment horizontal="left" vertical="center"/>
      <protection hidden="1"/>
    </xf>
    <xf numFmtId="0" fontId="24" fillId="9" borderId="8" xfId="2" applyFont="1" applyFill="1" applyBorder="1" applyAlignment="1" applyProtection="1">
      <alignment horizontal="left" vertical="center"/>
      <protection hidden="1"/>
    </xf>
    <xf numFmtId="0" fontId="12" fillId="9" borderId="3" xfId="2" applyFont="1" applyFill="1" applyBorder="1" applyAlignment="1" applyProtection="1">
      <alignment horizontal="left" vertical="center"/>
      <protection hidden="1"/>
    </xf>
    <xf numFmtId="0" fontId="12" fillId="9" borderId="4" xfId="2" applyFont="1" applyFill="1" applyBorder="1" applyAlignment="1" applyProtection="1">
      <alignment horizontal="left" vertical="center"/>
      <protection hidden="1"/>
    </xf>
    <xf numFmtId="0" fontId="12" fillId="9" borderId="8" xfId="2" applyFont="1" applyFill="1" applyBorder="1" applyAlignment="1" applyProtection="1">
      <alignment horizontal="left" vertical="center"/>
      <protection hidden="1"/>
    </xf>
    <xf numFmtId="0" fontId="20" fillId="9" borderId="3" xfId="2" applyFont="1" applyFill="1" applyBorder="1" applyAlignment="1" applyProtection="1">
      <alignment horizontal="center" vertical="center"/>
      <protection hidden="1"/>
    </xf>
    <xf numFmtId="0" fontId="20" fillId="9" borderId="4" xfId="2" applyFont="1" applyFill="1" applyBorder="1" applyAlignment="1" applyProtection="1">
      <alignment horizontal="center" vertical="center"/>
      <protection hidden="1"/>
    </xf>
    <xf numFmtId="0" fontId="20" fillId="9" borderId="8" xfId="2" applyFont="1" applyFill="1" applyBorder="1" applyAlignment="1" applyProtection="1">
      <alignment horizontal="center" vertical="center"/>
      <protection hidden="1"/>
    </xf>
    <xf numFmtId="0" fontId="23" fillId="6" borderId="3" xfId="2" applyFont="1" applyFill="1" applyBorder="1" applyAlignment="1" applyProtection="1">
      <alignment horizontal="left" vertical="center" wrapText="1"/>
      <protection hidden="1"/>
    </xf>
    <xf numFmtId="0" fontId="23" fillId="6" borderId="4" xfId="2" applyFont="1" applyFill="1" applyBorder="1" applyAlignment="1" applyProtection="1">
      <alignment horizontal="left" vertical="center" wrapText="1"/>
      <protection hidden="1"/>
    </xf>
    <xf numFmtId="0" fontId="23" fillId="6" borderId="8" xfId="2" applyFont="1" applyFill="1" applyBorder="1" applyAlignment="1" applyProtection="1">
      <alignment horizontal="left" vertical="center" wrapText="1"/>
      <protection hidden="1"/>
    </xf>
    <xf numFmtId="0" fontId="12" fillId="3" borderId="4" xfId="2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6" fillId="0" borderId="4" xfId="10" applyNumberFormat="1" applyFont="1" applyFill="1" applyBorder="1" applyAlignment="1" applyProtection="1">
      <alignment horizontal="center" vertical="center"/>
      <protection locked="0"/>
    </xf>
    <xf numFmtId="16" fontId="36" fillId="0" borderId="4" xfId="10" applyNumberFormat="1" applyFill="1" applyBorder="1" applyAlignment="1" applyProtection="1">
      <alignment horizontal="center" vertical="center"/>
      <protection locked="0"/>
    </xf>
    <xf numFmtId="0" fontId="30" fillId="0" borderId="58" xfId="0" applyFont="1" applyFill="1" applyBorder="1" applyAlignment="1" applyProtection="1">
      <alignment horizontal="center" vertical="center"/>
    </xf>
    <xf numFmtId="0" fontId="30" fillId="0" borderId="59" xfId="0" applyFont="1" applyFill="1" applyBorder="1" applyAlignment="1" applyProtection="1">
      <alignment horizontal="center" vertical="center"/>
    </xf>
    <xf numFmtId="0" fontId="30" fillId="0" borderId="60" xfId="0" applyFont="1" applyFill="1" applyBorder="1" applyAlignment="1" applyProtection="1">
      <alignment horizontal="center" vertical="center"/>
    </xf>
    <xf numFmtId="0" fontId="30" fillId="0" borderId="69" xfId="0" applyFont="1" applyFill="1" applyBorder="1" applyAlignment="1" applyProtection="1">
      <alignment horizontal="center" vertical="center"/>
    </xf>
    <xf numFmtId="0" fontId="30" fillId="0" borderId="70" xfId="0" applyFont="1" applyFill="1" applyBorder="1" applyAlignment="1" applyProtection="1">
      <alignment horizontal="center" vertical="center"/>
    </xf>
    <xf numFmtId="0" fontId="30" fillId="0" borderId="71" xfId="0" applyFont="1" applyFill="1" applyBorder="1" applyAlignment="1" applyProtection="1">
      <alignment horizontal="center" vertical="center"/>
    </xf>
    <xf numFmtId="0" fontId="30" fillId="0" borderId="34" xfId="0" applyFont="1" applyFill="1" applyBorder="1" applyAlignment="1" applyProtection="1">
      <alignment horizontal="center" vertical="center"/>
    </xf>
    <xf numFmtId="0" fontId="30" fillId="0" borderId="6" xfId="0" applyFont="1" applyFill="1" applyBorder="1" applyAlignment="1" applyProtection="1">
      <alignment horizontal="center" vertical="center"/>
    </xf>
  </cellXfs>
  <cellStyles count="11">
    <cellStyle name="Hipervínculo" xfId="8" builtinId="8"/>
    <cellStyle name="Millares 2" xfId="4" xr:uid="{00000000-0005-0000-0000-000001000000}"/>
    <cellStyle name="Moeda 2" xfId="6" xr:uid="{00000000-0005-0000-0000-000002000000}"/>
    <cellStyle name="Moneda" xfId="7" builtinId="4"/>
    <cellStyle name="Moneda 2" xfId="3" xr:uid="{00000000-0005-0000-0000-000004000000}"/>
    <cellStyle name="Normal" xfId="0" builtinId="0"/>
    <cellStyle name="Normal 2" xfId="1" xr:uid="{00000000-0005-0000-0000-000006000000}"/>
    <cellStyle name="Normal 3" xfId="2" xr:uid="{00000000-0005-0000-0000-000007000000}"/>
    <cellStyle name="Normal 4" xfId="9" xr:uid="{00000000-0005-0000-0000-000008000000}"/>
    <cellStyle name="Normal 5" xfId="10" xr:uid="{00000000-0005-0000-0000-000009000000}"/>
    <cellStyle name="Porcentual 2" xfId="5" xr:uid="{00000000-0005-0000-0000-00000A000000}"/>
  </cellStyles>
  <dxfs count="0"/>
  <tableStyles count="0" defaultTableStyle="TableStyleMedium9" defaultPivotStyle="PivotStyleLight16"/>
  <colors>
    <mruColors>
      <color rgb="FFFFFFC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3.png@01D16801.2D2BDB8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16801.2D2BDB8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414338</xdr:rowOff>
    </xdr:from>
    <xdr:to>
      <xdr:col>4</xdr:col>
      <xdr:colOff>581025</xdr:colOff>
      <xdr:row>3</xdr:row>
      <xdr:rowOff>197644</xdr:rowOff>
    </xdr:to>
    <xdr:pic>
      <xdr:nvPicPr>
        <xdr:cNvPr id="10" name="Imagen 9" descr="cid:image001.png@01D1584C.9304820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7675" y="414338"/>
          <a:ext cx="2476500" cy="621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81</xdr:row>
      <xdr:rowOff>211665</xdr:rowOff>
    </xdr:from>
    <xdr:to>
      <xdr:col>7</xdr:col>
      <xdr:colOff>624417</xdr:colOff>
      <xdr:row>95</xdr:row>
      <xdr:rowOff>33070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7A211A-93A0-4E58-893B-F1A95460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6918" y="16118415"/>
          <a:ext cx="5132916" cy="2784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226219</xdr:colOff>
      <xdr:row>0</xdr:row>
      <xdr:rowOff>35719</xdr:rowOff>
    </xdr:from>
    <xdr:to>
      <xdr:col>1</xdr:col>
      <xdr:colOff>2440781</xdr:colOff>
      <xdr:row>2</xdr:row>
      <xdr:rowOff>202406</xdr:rowOff>
    </xdr:to>
    <xdr:pic>
      <xdr:nvPicPr>
        <xdr:cNvPr id="3" name="Imagen 2" descr="cid:image001.png@01D1584C.9304820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6219" y="35719"/>
          <a:ext cx="24765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106322</xdr:rowOff>
    </xdr:from>
    <xdr:to>
      <xdr:col>6</xdr:col>
      <xdr:colOff>303876</xdr:colOff>
      <xdr:row>17</xdr:row>
      <xdr:rowOff>47124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0321B8-E6C9-4627-937F-28813993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550" y="8040647"/>
          <a:ext cx="4666326" cy="2531602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1</xdr:row>
      <xdr:rowOff>83865</xdr:rowOff>
    </xdr:from>
    <xdr:to>
      <xdr:col>12</xdr:col>
      <xdr:colOff>695326</xdr:colOff>
      <xdr:row>17</xdr:row>
      <xdr:rowOff>47968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3F5DDE-A204-4642-B460-099E5E3F6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86350" y="245790"/>
          <a:ext cx="4752976" cy="2554903"/>
        </a:xfrm>
        <a:prstGeom prst="rect">
          <a:avLst/>
        </a:prstGeom>
      </xdr:spPr>
    </xdr:pic>
    <xdr:clientData/>
  </xdr:twoCellAnchor>
  <xdr:twoCellAnchor editAs="oneCell">
    <xdr:from>
      <xdr:col>1</xdr:col>
      <xdr:colOff>24598</xdr:colOff>
      <xdr:row>21</xdr:row>
      <xdr:rowOff>57149</xdr:rowOff>
    </xdr:from>
    <xdr:to>
      <xdr:col>5</xdr:col>
      <xdr:colOff>83043</xdr:colOff>
      <xdr:row>40</xdr:row>
      <xdr:rowOff>57149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2C906A5-1999-4C59-8150-5123314A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6598" y="3457574"/>
          <a:ext cx="3106445" cy="3076575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36</xdr:row>
      <xdr:rowOff>133351</xdr:rowOff>
    </xdr:from>
    <xdr:to>
      <xdr:col>2</xdr:col>
      <xdr:colOff>723900</xdr:colOff>
      <xdr:row>41</xdr:row>
      <xdr:rowOff>114300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85F80D4B-7E4D-457E-98DE-22CD7AC07E47}"/>
            </a:ext>
          </a:extLst>
        </xdr:cNvPr>
        <xdr:cNvCxnSpPr/>
      </xdr:nvCxnSpPr>
      <xdr:spPr bwMode="auto">
        <a:xfrm flipV="1">
          <a:off x="1590675" y="5962651"/>
          <a:ext cx="657225" cy="79057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J109"/>
  <sheetViews>
    <sheetView showGridLines="0" tabSelected="1" zoomScale="90" zoomScaleNormal="90" zoomScaleSheetLayoutView="80" workbookViewId="0">
      <selection activeCell="C17" sqref="C17:V17"/>
    </sheetView>
  </sheetViews>
  <sheetFormatPr baseColWidth="10" defaultRowHeight="12.75" x14ac:dyDescent="0.2"/>
  <cols>
    <col min="1" max="1" width="11.42578125" style="1"/>
    <col min="2" max="2" width="7.85546875" style="14" customWidth="1"/>
    <col min="3" max="4" width="15.7109375" style="14" customWidth="1"/>
    <col min="5" max="6" width="12.7109375" style="14" customWidth="1"/>
    <col min="7" max="7" width="15.140625" style="14" customWidth="1"/>
    <col min="8" max="8" width="17" style="14" customWidth="1"/>
    <col min="9" max="30" width="3.7109375" style="14" customWidth="1"/>
    <col min="31" max="31" width="12.28515625" style="1" bestFit="1" customWidth="1"/>
    <col min="32" max="16384" width="11.42578125" style="1"/>
  </cols>
  <sheetData>
    <row r="1" spans="1:36" ht="33" customHeight="1" thickTop="1" thickBot="1" x14ac:dyDescent="0.25">
      <c r="B1" s="16"/>
      <c r="C1" s="17"/>
      <c r="D1" s="17"/>
      <c r="E1" s="17"/>
      <c r="F1" s="351" t="s">
        <v>29</v>
      </c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3"/>
    </row>
    <row r="2" spans="1:36" ht="17.100000000000001" customHeight="1" x14ac:dyDescent="0.2">
      <c r="B2" s="18"/>
      <c r="C2"/>
      <c r="D2" s="354"/>
      <c r="E2" s="354"/>
      <c r="F2" s="355" t="s">
        <v>4</v>
      </c>
      <c r="G2" s="356"/>
      <c r="H2" s="357"/>
      <c r="I2" s="358" t="s">
        <v>82</v>
      </c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60"/>
    </row>
    <row r="3" spans="1:36" ht="17.100000000000001" customHeight="1" x14ac:dyDescent="0.2">
      <c r="B3" s="18"/>
      <c r="C3" s="1"/>
      <c r="D3" s="354"/>
      <c r="E3" s="354"/>
      <c r="F3" s="361" t="s">
        <v>5</v>
      </c>
      <c r="G3" s="362"/>
      <c r="H3" s="363"/>
      <c r="I3" s="127" t="s">
        <v>83</v>
      </c>
      <c r="J3" s="25"/>
      <c r="L3" s="102"/>
      <c r="M3" s="107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3"/>
    </row>
    <row r="4" spans="1:36" ht="17.100000000000001" customHeight="1" x14ac:dyDescent="0.2">
      <c r="B4" s="18"/>
      <c r="C4" s="40"/>
      <c r="D4" s="354"/>
      <c r="E4" s="354"/>
      <c r="F4" s="361" t="s">
        <v>6</v>
      </c>
      <c r="G4" s="370"/>
      <c r="H4" s="371"/>
      <c r="I4" s="372" t="s">
        <v>89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73"/>
    </row>
    <row r="5" spans="1:36" ht="17.100000000000001" customHeight="1" x14ac:dyDescent="0.2">
      <c r="B5" s="18"/>
      <c r="C5" s="40"/>
      <c r="D5" s="174"/>
      <c r="E5" s="174"/>
      <c r="F5" s="361" t="s">
        <v>7</v>
      </c>
      <c r="G5" s="370"/>
      <c r="H5" s="371"/>
      <c r="I5" s="374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73"/>
    </row>
    <row r="6" spans="1:36" ht="17.100000000000001" customHeight="1" thickBot="1" x14ac:dyDescent="0.25">
      <c r="B6" s="18"/>
      <c r="C6" s="1"/>
      <c r="D6" s="1"/>
      <c r="E6" s="1"/>
      <c r="F6" s="375" t="s">
        <v>77</v>
      </c>
      <c r="G6" s="370"/>
      <c r="H6" s="371"/>
      <c r="I6" s="376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73"/>
    </row>
    <row r="7" spans="1:36" ht="39" customHeight="1" thickTop="1" thickBot="1" x14ac:dyDescent="0.25">
      <c r="B7" s="364" t="s">
        <v>31</v>
      </c>
      <c r="C7" s="365"/>
      <c r="D7" s="366" t="s">
        <v>170</v>
      </c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7"/>
    </row>
    <row r="8" spans="1:36" s="153" customFormat="1" ht="17.100000000000001" customHeight="1" thickTop="1" x14ac:dyDescent="0.2">
      <c r="A8" s="176"/>
      <c r="B8" s="368" t="s">
        <v>0</v>
      </c>
      <c r="C8" s="303" t="s">
        <v>8</v>
      </c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77"/>
      <c r="W8" s="379" t="s">
        <v>10</v>
      </c>
      <c r="X8" s="380"/>
      <c r="Y8" s="380"/>
      <c r="Z8" s="380"/>
      <c r="AA8" s="380"/>
      <c r="AB8" s="380"/>
      <c r="AC8" s="380"/>
      <c r="AD8" s="381"/>
      <c r="AG8" s="1"/>
      <c r="AH8" s="1"/>
      <c r="AI8" s="1"/>
      <c r="AJ8" s="1"/>
    </row>
    <row r="9" spans="1:36" s="153" customFormat="1" ht="17.100000000000001" customHeight="1" x14ac:dyDescent="0.2">
      <c r="A9" s="176"/>
      <c r="B9" s="369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78"/>
      <c r="W9" s="331" t="s">
        <v>1</v>
      </c>
      <c r="X9" s="332"/>
      <c r="Y9" s="332"/>
      <c r="Z9" s="382"/>
      <c r="AA9" s="331" t="s">
        <v>9</v>
      </c>
      <c r="AB9" s="332"/>
      <c r="AC9" s="332"/>
      <c r="AD9" s="333"/>
      <c r="AG9" s="1"/>
      <c r="AH9" s="1"/>
      <c r="AI9" s="1"/>
      <c r="AJ9" s="1"/>
    </row>
    <row r="10" spans="1:36" s="153" customFormat="1" ht="17.100000000000001" customHeight="1" x14ac:dyDescent="0.2">
      <c r="A10" s="176"/>
      <c r="B10" s="217">
        <v>1</v>
      </c>
      <c r="C10" s="215" t="s">
        <v>90</v>
      </c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5"/>
      <c r="W10" s="129"/>
      <c r="X10" s="130"/>
      <c r="Y10" s="130"/>
      <c r="Z10" s="131"/>
      <c r="AA10" s="129"/>
      <c r="AB10" s="130"/>
      <c r="AC10" s="130"/>
      <c r="AD10" s="132"/>
      <c r="AG10" s="1"/>
      <c r="AH10" s="1"/>
      <c r="AI10" s="1"/>
      <c r="AJ10" s="1"/>
    </row>
    <row r="11" spans="1:36" s="153" customFormat="1" ht="17.100000000000001" customHeight="1" x14ac:dyDescent="0.2">
      <c r="A11" s="176"/>
      <c r="B11" s="218">
        <v>1.1000000000000001</v>
      </c>
      <c r="C11" s="349" t="s">
        <v>91</v>
      </c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V11" s="350"/>
      <c r="W11" s="334">
        <v>43131</v>
      </c>
      <c r="X11" s="335"/>
      <c r="Y11" s="335"/>
      <c r="Z11" s="336"/>
      <c r="AA11" s="334">
        <v>43132</v>
      </c>
      <c r="AB11" s="335"/>
      <c r="AC11" s="335"/>
      <c r="AD11" s="337"/>
      <c r="AG11" s="1"/>
      <c r="AH11" s="1"/>
      <c r="AI11" s="1"/>
      <c r="AJ11" s="1"/>
    </row>
    <row r="12" spans="1:36" s="153" customFormat="1" ht="17.100000000000001" customHeight="1" x14ac:dyDescent="0.2">
      <c r="A12" s="176"/>
      <c r="B12" s="219">
        <v>2</v>
      </c>
      <c r="C12" s="267" t="s">
        <v>96</v>
      </c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8"/>
      <c r="W12" s="334"/>
      <c r="X12" s="335"/>
      <c r="Y12" s="335"/>
      <c r="Z12" s="336"/>
      <c r="AA12" s="334"/>
      <c r="AB12" s="335"/>
      <c r="AC12" s="335"/>
      <c r="AD12" s="337"/>
      <c r="AG12" s="1"/>
      <c r="AH12" s="1"/>
      <c r="AI12" s="1"/>
      <c r="AJ12" s="1"/>
    </row>
    <row r="13" spans="1:36" s="153" customFormat="1" ht="17.100000000000001" customHeight="1" x14ac:dyDescent="0.2">
      <c r="A13" s="176"/>
      <c r="B13" s="218" t="s">
        <v>99</v>
      </c>
      <c r="C13" s="265" t="s">
        <v>171</v>
      </c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6"/>
      <c r="W13" s="334">
        <v>43132</v>
      </c>
      <c r="X13" s="335"/>
      <c r="Y13" s="335"/>
      <c r="Z13" s="336"/>
      <c r="AA13" s="334">
        <v>43134</v>
      </c>
      <c r="AB13" s="335"/>
      <c r="AC13" s="335"/>
      <c r="AD13" s="337"/>
      <c r="AG13" s="1"/>
      <c r="AH13" s="1"/>
      <c r="AI13" s="1"/>
      <c r="AJ13" s="1"/>
    </row>
    <row r="14" spans="1:36" s="176" customFormat="1" ht="17.100000000000001" customHeight="1" x14ac:dyDescent="0.2">
      <c r="B14" s="218" t="s">
        <v>100</v>
      </c>
      <c r="C14" s="265" t="s">
        <v>172</v>
      </c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6"/>
      <c r="W14" s="383">
        <v>43133</v>
      </c>
      <c r="X14" s="335"/>
      <c r="Y14" s="335"/>
      <c r="Z14" s="336"/>
      <c r="AA14" s="334">
        <v>43137</v>
      </c>
      <c r="AB14" s="335"/>
      <c r="AC14" s="335"/>
      <c r="AD14" s="337"/>
      <c r="AG14" s="1"/>
      <c r="AH14" s="1"/>
      <c r="AI14" s="1"/>
      <c r="AJ14" s="1"/>
    </row>
    <row r="15" spans="1:36" s="188" customFormat="1" ht="17.100000000000001" customHeight="1" x14ac:dyDescent="0.2">
      <c r="B15" s="218" t="s">
        <v>101</v>
      </c>
      <c r="C15" s="265" t="s">
        <v>173</v>
      </c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6"/>
      <c r="W15" s="334">
        <v>43134</v>
      </c>
      <c r="X15" s="335"/>
      <c r="Y15" s="335"/>
      <c r="Z15" s="336"/>
      <c r="AA15" s="334">
        <v>43138</v>
      </c>
      <c r="AB15" s="335"/>
      <c r="AC15" s="335"/>
      <c r="AD15" s="337"/>
      <c r="AG15" s="1"/>
      <c r="AH15" s="1"/>
      <c r="AI15" s="1"/>
      <c r="AJ15" s="1"/>
    </row>
    <row r="16" spans="1:36" s="176" customFormat="1" ht="17.100000000000001" customHeight="1" x14ac:dyDescent="0.2">
      <c r="B16" s="218" t="s">
        <v>102</v>
      </c>
      <c r="C16" s="265" t="s">
        <v>174</v>
      </c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6"/>
      <c r="W16" s="334">
        <v>43137</v>
      </c>
      <c r="X16" s="335"/>
      <c r="Y16" s="335"/>
      <c r="Z16" s="336"/>
      <c r="AA16" s="334">
        <v>43141</v>
      </c>
      <c r="AB16" s="335"/>
      <c r="AC16" s="335"/>
      <c r="AD16" s="337"/>
      <c r="AG16" s="1"/>
      <c r="AH16" s="1"/>
      <c r="AI16" s="1"/>
      <c r="AJ16" s="1"/>
    </row>
    <row r="17" spans="1:36" s="176" customFormat="1" ht="17.100000000000001" customHeight="1" x14ac:dyDescent="0.2">
      <c r="B17" s="218" t="s">
        <v>103</v>
      </c>
      <c r="C17" s="265" t="s">
        <v>146</v>
      </c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6"/>
      <c r="W17" s="334">
        <v>43137</v>
      </c>
      <c r="X17" s="335"/>
      <c r="Y17" s="335"/>
      <c r="Z17" s="336"/>
      <c r="AA17" s="334">
        <v>43141</v>
      </c>
      <c r="AB17" s="335"/>
      <c r="AC17" s="335"/>
      <c r="AD17" s="337"/>
      <c r="AG17" s="1"/>
      <c r="AH17" s="1"/>
      <c r="AI17" s="1"/>
      <c r="AJ17" s="1"/>
    </row>
    <row r="18" spans="1:36" s="175" customFormat="1" ht="15.75" customHeight="1" x14ac:dyDescent="0.2">
      <c r="A18" s="176"/>
      <c r="B18" s="218" t="s">
        <v>104</v>
      </c>
      <c r="C18" s="265" t="s">
        <v>147</v>
      </c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6"/>
      <c r="W18" s="334">
        <v>43137</v>
      </c>
      <c r="X18" s="335"/>
      <c r="Y18" s="335"/>
      <c r="Z18" s="336"/>
      <c r="AA18" s="334">
        <v>43141</v>
      </c>
      <c r="AB18" s="335"/>
      <c r="AC18" s="335"/>
      <c r="AD18" s="337"/>
      <c r="AG18" s="1"/>
      <c r="AH18" s="1"/>
      <c r="AI18" s="1"/>
      <c r="AJ18" s="1"/>
    </row>
    <row r="19" spans="1:36" s="175" customFormat="1" ht="18.75" customHeight="1" x14ac:dyDescent="0.2">
      <c r="A19" s="176"/>
      <c r="B19" s="218" t="s">
        <v>105</v>
      </c>
      <c r="C19" s="265" t="s">
        <v>175</v>
      </c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6"/>
      <c r="W19" s="334">
        <v>43137</v>
      </c>
      <c r="X19" s="335"/>
      <c r="Y19" s="335"/>
      <c r="Z19" s="336"/>
      <c r="AA19" s="334">
        <v>43141</v>
      </c>
      <c r="AB19" s="335"/>
      <c r="AC19" s="335"/>
      <c r="AD19" s="337"/>
      <c r="AG19" s="1"/>
      <c r="AH19" s="1"/>
      <c r="AI19" s="1"/>
      <c r="AJ19" s="1"/>
    </row>
    <row r="20" spans="1:36" s="153" customFormat="1" ht="17.100000000000001" customHeight="1" x14ac:dyDescent="0.2">
      <c r="A20" s="176"/>
      <c r="B20" s="218" t="s">
        <v>106</v>
      </c>
      <c r="C20" s="265" t="s">
        <v>176</v>
      </c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6"/>
      <c r="W20" s="334">
        <v>43139</v>
      </c>
      <c r="X20" s="335"/>
      <c r="Y20" s="335"/>
      <c r="Z20" s="336"/>
      <c r="AA20" s="334">
        <v>43141</v>
      </c>
      <c r="AB20" s="335"/>
      <c r="AC20" s="335"/>
      <c r="AD20" s="337"/>
      <c r="AG20" s="1"/>
      <c r="AH20" s="1"/>
      <c r="AI20" s="1"/>
      <c r="AJ20" s="1"/>
    </row>
    <row r="21" spans="1:36" s="180" customFormat="1" ht="17.100000000000001" customHeight="1" x14ac:dyDescent="0.2">
      <c r="B21" s="218" t="s">
        <v>107</v>
      </c>
      <c r="C21" s="265" t="s">
        <v>177</v>
      </c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6"/>
      <c r="W21" s="334">
        <v>43141</v>
      </c>
      <c r="X21" s="335"/>
      <c r="Y21" s="335"/>
      <c r="Z21" s="336"/>
      <c r="AA21" s="334">
        <v>43143</v>
      </c>
      <c r="AB21" s="335"/>
      <c r="AC21" s="335"/>
      <c r="AD21" s="337"/>
      <c r="AG21" s="1"/>
      <c r="AH21" s="1"/>
      <c r="AI21" s="1"/>
      <c r="AJ21" s="1"/>
    </row>
    <row r="22" spans="1:36" s="180" customFormat="1" ht="17.100000000000001" customHeight="1" x14ac:dyDescent="0.2">
      <c r="B22" s="218" t="s">
        <v>108</v>
      </c>
      <c r="C22" s="265" t="s">
        <v>97</v>
      </c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6"/>
      <c r="W22" s="334">
        <v>43142</v>
      </c>
      <c r="X22" s="335"/>
      <c r="Y22" s="335"/>
      <c r="Z22" s="336"/>
      <c r="AA22" s="334">
        <v>43143</v>
      </c>
      <c r="AB22" s="335"/>
      <c r="AC22" s="335"/>
      <c r="AD22" s="337"/>
      <c r="AG22" s="1"/>
      <c r="AH22" s="1"/>
      <c r="AI22" s="1"/>
      <c r="AJ22" s="1"/>
    </row>
    <row r="23" spans="1:36" s="188" customFormat="1" ht="17.100000000000001" customHeight="1" x14ac:dyDescent="0.2">
      <c r="B23" s="218" t="s">
        <v>110</v>
      </c>
      <c r="C23" s="265" t="s">
        <v>109</v>
      </c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6"/>
      <c r="W23" s="334">
        <v>43143</v>
      </c>
      <c r="X23" s="335"/>
      <c r="Y23" s="335"/>
      <c r="Z23" s="336"/>
      <c r="AA23" s="334">
        <v>43143</v>
      </c>
      <c r="AB23" s="335"/>
      <c r="AC23" s="335"/>
      <c r="AD23" s="337"/>
      <c r="AG23" s="1"/>
      <c r="AH23" s="1"/>
      <c r="AI23" s="1"/>
      <c r="AJ23" s="1"/>
    </row>
    <row r="24" spans="1:36" s="188" customFormat="1" ht="17.100000000000001" customHeight="1" x14ac:dyDescent="0.2">
      <c r="B24" s="218" t="s">
        <v>111</v>
      </c>
      <c r="C24" s="265" t="s">
        <v>139</v>
      </c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6"/>
      <c r="W24" s="334">
        <v>43141</v>
      </c>
      <c r="X24" s="335"/>
      <c r="Y24" s="335"/>
      <c r="Z24" s="336"/>
      <c r="AA24" s="334">
        <v>43144</v>
      </c>
      <c r="AB24" s="335"/>
      <c r="AC24" s="335"/>
      <c r="AD24" s="337"/>
      <c r="AG24" s="1"/>
      <c r="AH24" s="1"/>
      <c r="AI24" s="1"/>
      <c r="AJ24" s="1"/>
    </row>
    <row r="25" spans="1:36" s="188" customFormat="1" ht="17.100000000000001" customHeight="1" x14ac:dyDescent="0.2">
      <c r="B25" s="218" t="s">
        <v>113</v>
      </c>
      <c r="C25" s="265" t="s">
        <v>194</v>
      </c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6"/>
      <c r="W25" s="334">
        <v>43143</v>
      </c>
      <c r="X25" s="335"/>
      <c r="Y25" s="335"/>
      <c r="Z25" s="336"/>
      <c r="AA25" s="334">
        <v>43144</v>
      </c>
      <c r="AB25" s="335"/>
      <c r="AC25" s="335"/>
      <c r="AD25" s="337"/>
      <c r="AG25" s="1"/>
      <c r="AH25" s="1"/>
      <c r="AI25" s="1"/>
      <c r="AJ25" s="1"/>
    </row>
    <row r="26" spans="1:36" s="188" customFormat="1" ht="17.100000000000001" customHeight="1" x14ac:dyDescent="0.2">
      <c r="B26" s="218" t="s">
        <v>115</v>
      </c>
      <c r="C26" s="265" t="s">
        <v>195</v>
      </c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6"/>
      <c r="W26" s="334">
        <v>43138</v>
      </c>
      <c r="X26" s="335"/>
      <c r="Y26" s="335"/>
      <c r="Z26" s="336"/>
      <c r="AA26" s="334">
        <v>43142</v>
      </c>
      <c r="AB26" s="335"/>
      <c r="AC26" s="335"/>
      <c r="AD26" s="337"/>
      <c r="AG26" s="1"/>
      <c r="AH26" s="1"/>
      <c r="AI26" s="1"/>
      <c r="AJ26" s="1"/>
    </row>
    <row r="27" spans="1:36" s="188" customFormat="1" ht="17.100000000000001" customHeight="1" x14ac:dyDescent="0.2">
      <c r="B27" s="219">
        <v>3</v>
      </c>
      <c r="C27" s="267" t="s">
        <v>197</v>
      </c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8"/>
      <c r="W27" s="334"/>
      <c r="X27" s="335"/>
      <c r="Y27" s="335"/>
      <c r="Z27" s="336"/>
      <c r="AA27" s="334"/>
      <c r="AB27" s="335"/>
      <c r="AC27" s="335"/>
      <c r="AD27" s="337"/>
      <c r="AG27" s="1"/>
      <c r="AH27" s="1"/>
      <c r="AI27" s="1"/>
      <c r="AJ27" s="1"/>
    </row>
    <row r="28" spans="1:36" s="188" customFormat="1" ht="17.100000000000001" customHeight="1" x14ac:dyDescent="0.2">
      <c r="B28" s="218" t="s">
        <v>117</v>
      </c>
      <c r="C28" s="265" t="s">
        <v>196</v>
      </c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6"/>
      <c r="W28" s="334">
        <v>43144</v>
      </c>
      <c r="X28" s="335"/>
      <c r="Y28" s="335"/>
      <c r="Z28" s="336"/>
      <c r="AA28" s="334">
        <v>43145</v>
      </c>
      <c r="AB28" s="335"/>
      <c r="AC28" s="335"/>
      <c r="AD28" s="337"/>
      <c r="AG28" s="1"/>
      <c r="AH28" s="1"/>
      <c r="AI28" s="1"/>
      <c r="AJ28" s="1"/>
    </row>
    <row r="29" spans="1:36" s="188" customFormat="1" ht="17.100000000000001" customHeight="1" x14ac:dyDescent="0.2">
      <c r="B29" s="218" t="s">
        <v>118</v>
      </c>
      <c r="C29" s="265" t="s">
        <v>182</v>
      </c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6"/>
      <c r="W29" s="334">
        <v>43141</v>
      </c>
      <c r="X29" s="335"/>
      <c r="Y29" s="335"/>
      <c r="Z29" s="336"/>
      <c r="AA29" s="334">
        <v>43149</v>
      </c>
      <c r="AB29" s="335"/>
      <c r="AC29" s="335"/>
      <c r="AD29" s="337"/>
      <c r="AG29" s="1"/>
      <c r="AH29" s="1"/>
      <c r="AI29" s="1"/>
      <c r="AJ29" s="1"/>
    </row>
    <row r="30" spans="1:36" s="188" customFormat="1" ht="17.100000000000001" customHeight="1" x14ac:dyDescent="0.2">
      <c r="B30" s="218" t="s">
        <v>119</v>
      </c>
      <c r="C30" s="265" t="s">
        <v>178</v>
      </c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6"/>
      <c r="W30" s="384">
        <v>43170</v>
      </c>
      <c r="X30" s="385"/>
      <c r="Y30" s="385"/>
      <c r="Z30" s="386"/>
      <c r="AA30" s="384">
        <v>43174</v>
      </c>
      <c r="AB30" s="385"/>
      <c r="AC30" s="385"/>
      <c r="AD30" s="387"/>
      <c r="AG30" s="1"/>
      <c r="AH30" s="1"/>
      <c r="AI30" s="1"/>
      <c r="AJ30" s="1"/>
    </row>
    <row r="31" spans="1:36" s="188" customFormat="1" ht="17.100000000000001" customHeight="1" x14ac:dyDescent="0.2">
      <c r="B31" s="218" t="s">
        <v>120</v>
      </c>
      <c r="C31" s="265" t="s">
        <v>179</v>
      </c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6"/>
      <c r="W31" s="384">
        <v>43175</v>
      </c>
      <c r="X31" s="385"/>
      <c r="Y31" s="385"/>
      <c r="Z31" s="386"/>
      <c r="AA31" s="384">
        <v>43179</v>
      </c>
      <c r="AB31" s="385"/>
      <c r="AC31" s="385"/>
      <c r="AD31" s="387"/>
      <c r="AG31" s="1"/>
      <c r="AH31" s="1"/>
      <c r="AI31" s="1"/>
      <c r="AJ31" s="1"/>
    </row>
    <row r="32" spans="1:36" s="188" customFormat="1" ht="17.100000000000001" customHeight="1" x14ac:dyDescent="0.2">
      <c r="B32" s="218" t="s">
        <v>121</v>
      </c>
      <c r="C32" s="265" t="s">
        <v>180</v>
      </c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6"/>
      <c r="W32" s="384">
        <v>43175</v>
      </c>
      <c r="X32" s="385"/>
      <c r="Y32" s="385"/>
      <c r="Z32" s="386"/>
      <c r="AA32" s="384">
        <v>43187</v>
      </c>
      <c r="AB32" s="385"/>
      <c r="AC32" s="385"/>
      <c r="AD32" s="387"/>
      <c r="AG32" s="1"/>
      <c r="AH32" s="1"/>
      <c r="AI32" s="1"/>
      <c r="AJ32" s="1"/>
    </row>
    <row r="33" spans="2:36" s="188" customFormat="1" ht="17.100000000000001" customHeight="1" x14ac:dyDescent="0.2">
      <c r="B33" s="218" t="s">
        <v>122</v>
      </c>
      <c r="C33" s="265" t="s">
        <v>181</v>
      </c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6"/>
      <c r="W33" s="384">
        <v>43180</v>
      </c>
      <c r="X33" s="385"/>
      <c r="Y33" s="385"/>
      <c r="Z33" s="386"/>
      <c r="AA33" s="384">
        <v>43186</v>
      </c>
      <c r="AB33" s="385"/>
      <c r="AC33" s="385"/>
      <c r="AD33" s="387"/>
      <c r="AG33" s="1"/>
      <c r="AH33" s="1"/>
      <c r="AI33" s="1"/>
      <c r="AJ33" s="1"/>
    </row>
    <row r="34" spans="2:36" s="188" customFormat="1" ht="17.100000000000001" customHeight="1" x14ac:dyDescent="0.2">
      <c r="B34" s="219">
        <v>4</v>
      </c>
      <c r="C34" s="267" t="s">
        <v>124</v>
      </c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8"/>
      <c r="W34" s="334"/>
      <c r="X34" s="335"/>
      <c r="Y34" s="335"/>
      <c r="Z34" s="336"/>
      <c r="AA34" s="334"/>
      <c r="AB34" s="335"/>
      <c r="AC34" s="335"/>
      <c r="AD34" s="337"/>
      <c r="AG34" s="1"/>
      <c r="AH34" s="1"/>
      <c r="AI34" s="1"/>
      <c r="AJ34" s="1"/>
    </row>
    <row r="35" spans="2:36" s="188" customFormat="1" ht="17.100000000000001" customHeight="1" x14ac:dyDescent="0.2">
      <c r="B35" s="218" t="s">
        <v>127</v>
      </c>
      <c r="C35" s="265" t="s">
        <v>198</v>
      </c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6"/>
      <c r="W35" s="334">
        <v>43164</v>
      </c>
      <c r="X35" s="335"/>
      <c r="Y35" s="335"/>
      <c r="Z35" s="336"/>
      <c r="AA35" s="334">
        <v>43167</v>
      </c>
      <c r="AB35" s="335"/>
      <c r="AC35" s="335"/>
      <c r="AD35" s="337"/>
      <c r="AG35" s="1"/>
      <c r="AH35" s="1"/>
      <c r="AI35" s="1"/>
      <c r="AJ35" s="1"/>
    </row>
    <row r="36" spans="2:36" s="188" customFormat="1" ht="17.100000000000001" customHeight="1" x14ac:dyDescent="0.2">
      <c r="B36" s="218" t="s">
        <v>128</v>
      </c>
      <c r="C36" s="265" t="s">
        <v>159</v>
      </c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6"/>
      <c r="W36" s="334">
        <v>43167</v>
      </c>
      <c r="X36" s="335"/>
      <c r="Y36" s="335"/>
      <c r="Z36" s="336"/>
      <c r="AA36" s="334">
        <v>43170</v>
      </c>
      <c r="AB36" s="335"/>
      <c r="AC36" s="335"/>
      <c r="AD36" s="337"/>
      <c r="AG36" s="1"/>
      <c r="AH36" s="1"/>
      <c r="AI36" s="1"/>
      <c r="AJ36" s="1"/>
    </row>
    <row r="37" spans="2:36" s="188" customFormat="1" ht="17.100000000000001" customHeight="1" x14ac:dyDescent="0.2">
      <c r="B37" s="218" t="s">
        <v>129</v>
      </c>
      <c r="C37" s="265" t="s">
        <v>183</v>
      </c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6"/>
      <c r="W37" s="334">
        <v>43171</v>
      </c>
      <c r="X37" s="335"/>
      <c r="Y37" s="335"/>
      <c r="Z37" s="336"/>
      <c r="AA37" s="334">
        <v>43172</v>
      </c>
      <c r="AB37" s="335"/>
      <c r="AC37" s="335"/>
      <c r="AD37" s="337"/>
      <c r="AG37" s="1"/>
      <c r="AH37" s="1"/>
      <c r="AI37" s="1"/>
      <c r="AJ37" s="1"/>
    </row>
    <row r="38" spans="2:36" s="188" customFormat="1" ht="17.100000000000001" customHeight="1" x14ac:dyDescent="0.2">
      <c r="B38" s="218" t="s">
        <v>130</v>
      </c>
      <c r="C38" s="265" t="s">
        <v>184</v>
      </c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6"/>
      <c r="W38" s="334">
        <v>43172</v>
      </c>
      <c r="X38" s="335"/>
      <c r="Y38" s="335"/>
      <c r="Z38" s="336"/>
      <c r="AA38" s="334">
        <v>43174</v>
      </c>
      <c r="AB38" s="335"/>
      <c r="AC38" s="335"/>
      <c r="AD38" s="337"/>
      <c r="AG38" s="1"/>
      <c r="AH38" s="1"/>
      <c r="AI38" s="1"/>
      <c r="AJ38" s="1"/>
    </row>
    <row r="39" spans="2:36" s="188" customFormat="1" ht="17.100000000000001" customHeight="1" x14ac:dyDescent="0.2">
      <c r="B39" s="218" t="s">
        <v>131</v>
      </c>
      <c r="C39" s="265" t="s">
        <v>185</v>
      </c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6"/>
      <c r="W39" s="334">
        <v>43172</v>
      </c>
      <c r="X39" s="335"/>
      <c r="Y39" s="335"/>
      <c r="Z39" s="336"/>
      <c r="AA39" s="334">
        <v>43175</v>
      </c>
      <c r="AB39" s="335"/>
      <c r="AC39" s="335"/>
      <c r="AD39" s="337"/>
      <c r="AG39" s="1"/>
      <c r="AH39" s="1"/>
      <c r="AI39" s="1"/>
      <c r="AJ39" s="1"/>
    </row>
    <row r="40" spans="2:36" s="188" customFormat="1" ht="17.100000000000001" customHeight="1" x14ac:dyDescent="0.2">
      <c r="B40" s="218" t="s">
        <v>132</v>
      </c>
      <c r="C40" s="265" t="s">
        <v>186</v>
      </c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6"/>
      <c r="W40" s="334">
        <v>43175</v>
      </c>
      <c r="X40" s="335"/>
      <c r="Y40" s="335"/>
      <c r="Z40" s="336"/>
      <c r="AA40" s="334">
        <v>43183</v>
      </c>
      <c r="AB40" s="335"/>
      <c r="AC40" s="335"/>
      <c r="AD40" s="337"/>
      <c r="AG40" s="1"/>
      <c r="AH40" s="1"/>
      <c r="AI40" s="1"/>
      <c r="AJ40" s="1"/>
    </row>
    <row r="41" spans="2:36" s="188" customFormat="1" ht="17.100000000000001" customHeight="1" x14ac:dyDescent="0.2">
      <c r="B41" s="219">
        <v>5</v>
      </c>
      <c r="C41" s="267" t="s">
        <v>125</v>
      </c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8"/>
      <c r="W41" s="334"/>
      <c r="X41" s="335"/>
      <c r="Y41" s="335"/>
      <c r="Z41" s="336"/>
      <c r="AA41" s="334"/>
      <c r="AB41" s="335"/>
      <c r="AC41" s="335"/>
      <c r="AD41" s="337"/>
      <c r="AG41" s="1"/>
      <c r="AH41" s="1"/>
      <c r="AI41" s="1"/>
      <c r="AJ41" s="1"/>
    </row>
    <row r="42" spans="2:36" s="188" customFormat="1" ht="17.100000000000001" customHeight="1" x14ac:dyDescent="0.2">
      <c r="B42" s="218" t="s">
        <v>135</v>
      </c>
      <c r="C42" s="265" t="s">
        <v>200</v>
      </c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6"/>
      <c r="W42" s="334">
        <v>43157</v>
      </c>
      <c r="X42" s="335"/>
      <c r="Y42" s="335"/>
      <c r="Z42" s="336"/>
      <c r="AA42" s="334">
        <v>43176</v>
      </c>
      <c r="AB42" s="335"/>
      <c r="AC42" s="335"/>
      <c r="AD42" s="337"/>
      <c r="AG42" s="1"/>
      <c r="AH42" s="1"/>
      <c r="AI42" s="1"/>
      <c r="AJ42" s="1"/>
    </row>
    <row r="43" spans="2:36" s="188" customFormat="1" ht="17.100000000000001" customHeight="1" x14ac:dyDescent="0.2">
      <c r="B43" s="218" t="s">
        <v>136</v>
      </c>
      <c r="C43" s="265" t="s">
        <v>188</v>
      </c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6"/>
      <c r="W43" s="334">
        <v>43176</v>
      </c>
      <c r="X43" s="335"/>
      <c r="Y43" s="335"/>
      <c r="Z43" s="336"/>
      <c r="AA43" s="334">
        <v>43179</v>
      </c>
      <c r="AB43" s="335"/>
      <c r="AC43" s="335"/>
      <c r="AD43" s="337"/>
      <c r="AG43" s="1"/>
      <c r="AH43" s="1"/>
      <c r="AI43" s="1"/>
      <c r="AJ43" s="1"/>
    </row>
    <row r="44" spans="2:36" s="188" customFormat="1" ht="17.100000000000001" customHeight="1" x14ac:dyDescent="0.2">
      <c r="B44" s="218" t="s">
        <v>137</v>
      </c>
      <c r="C44" s="265" t="s">
        <v>189</v>
      </c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6"/>
      <c r="W44" s="334">
        <v>43178</v>
      </c>
      <c r="X44" s="335"/>
      <c r="Y44" s="335"/>
      <c r="Z44" s="336"/>
      <c r="AA44" s="334">
        <v>43181</v>
      </c>
      <c r="AB44" s="335"/>
      <c r="AC44" s="335"/>
      <c r="AD44" s="337"/>
      <c r="AG44" s="1"/>
      <c r="AH44" s="1"/>
      <c r="AI44" s="1"/>
      <c r="AJ44" s="1"/>
    </row>
    <row r="45" spans="2:36" s="188" customFormat="1" ht="17.100000000000001" customHeight="1" x14ac:dyDescent="0.2">
      <c r="B45" s="218" t="s">
        <v>138</v>
      </c>
      <c r="C45" s="265" t="s">
        <v>190</v>
      </c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6"/>
      <c r="W45" s="334">
        <v>43182</v>
      </c>
      <c r="X45" s="335"/>
      <c r="Y45" s="335"/>
      <c r="Z45" s="336"/>
      <c r="AA45" s="334">
        <v>43186</v>
      </c>
      <c r="AB45" s="335"/>
      <c r="AC45" s="335"/>
      <c r="AD45" s="337"/>
      <c r="AG45" s="1"/>
      <c r="AH45" s="1"/>
      <c r="AI45" s="1"/>
      <c r="AJ45" s="1"/>
    </row>
    <row r="46" spans="2:36" s="214" customFormat="1" ht="17.100000000000001" customHeight="1" x14ac:dyDescent="0.2">
      <c r="B46" s="218" t="s">
        <v>187</v>
      </c>
      <c r="C46" s="265" t="s">
        <v>191</v>
      </c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6"/>
      <c r="W46" s="334">
        <v>43185</v>
      </c>
      <c r="X46" s="335"/>
      <c r="Y46" s="335"/>
      <c r="Z46" s="336"/>
      <c r="AA46" s="334">
        <v>43189</v>
      </c>
      <c r="AB46" s="335"/>
      <c r="AC46" s="335"/>
      <c r="AD46" s="337"/>
      <c r="AG46" s="1"/>
      <c r="AH46" s="1"/>
      <c r="AI46" s="1"/>
      <c r="AJ46" s="1"/>
    </row>
    <row r="47" spans="2:36" s="214" customFormat="1" ht="17.100000000000001" customHeight="1" x14ac:dyDescent="0.2">
      <c r="B47" s="219">
        <v>6</v>
      </c>
      <c r="C47" s="267" t="s">
        <v>192</v>
      </c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8"/>
      <c r="W47" s="241"/>
      <c r="X47" s="242"/>
      <c r="Y47" s="242"/>
      <c r="Z47" s="243"/>
      <c r="AA47" s="241"/>
      <c r="AB47" s="242"/>
      <c r="AC47" s="242"/>
      <c r="AD47" s="244"/>
      <c r="AG47" s="1"/>
      <c r="AH47" s="1"/>
      <c r="AI47" s="1"/>
      <c r="AJ47" s="1"/>
    </row>
    <row r="48" spans="2:36" s="214" customFormat="1" ht="17.100000000000001" customHeight="1" x14ac:dyDescent="0.2">
      <c r="B48" s="218">
        <v>6.1</v>
      </c>
      <c r="C48" s="265" t="s">
        <v>193</v>
      </c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6"/>
      <c r="W48" s="334"/>
      <c r="X48" s="335"/>
      <c r="Y48" s="335"/>
      <c r="Z48" s="336"/>
      <c r="AA48" s="334"/>
      <c r="AB48" s="335"/>
      <c r="AC48" s="335"/>
      <c r="AD48" s="337"/>
      <c r="AG48" s="1"/>
      <c r="AH48" s="1"/>
      <c r="AI48" s="1"/>
      <c r="AJ48" s="1"/>
    </row>
    <row r="49" spans="1:30" s="153" customFormat="1" ht="17.100000000000001" customHeight="1" x14ac:dyDescent="0.2">
      <c r="A49" s="176"/>
      <c r="B49" s="219">
        <v>7</v>
      </c>
      <c r="C49" s="267" t="s">
        <v>92</v>
      </c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8"/>
      <c r="W49" s="241"/>
      <c r="X49" s="242"/>
      <c r="Y49" s="242"/>
      <c r="Z49" s="243"/>
      <c r="AA49" s="241"/>
      <c r="AB49" s="242"/>
      <c r="AC49" s="242"/>
      <c r="AD49" s="244"/>
    </row>
    <row r="50" spans="1:30" s="153" customFormat="1" ht="17.100000000000001" customHeight="1" x14ac:dyDescent="0.2">
      <c r="A50" s="176"/>
      <c r="B50" s="220">
        <v>7.1</v>
      </c>
      <c r="C50" s="349" t="s">
        <v>93</v>
      </c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50"/>
      <c r="W50" s="334">
        <v>43189</v>
      </c>
      <c r="X50" s="335"/>
      <c r="Y50" s="335"/>
      <c r="Z50" s="336"/>
      <c r="AA50" s="384">
        <v>43191</v>
      </c>
      <c r="AB50" s="335"/>
      <c r="AC50" s="335"/>
      <c r="AD50" s="337"/>
    </row>
    <row r="51" spans="1:30" s="153" customFormat="1" ht="17.100000000000001" customHeight="1" thickBot="1" x14ac:dyDescent="0.25">
      <c r="A51" s="176"/>
      <c r="B51" s="221"/>
      <c r="C51" s="216"/>
      <c r="D51" s="10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170"/>
      <c r="X51" s="171"/>
      <c r="Y51" s="171"/>
      <c r="Z51" s="173"/>
      <c r="AA51" s="170"/>
      <c r="AB51" s="171"/>
      <c r="AC51" s="171"/>
      <c r="AD51" s="172"/>
    </row>
    <row r="52" spans="1:30" s="153" customFormat="1" ht="17.100000000000001" customHeight="1" thickTop="1" x14ac:dyDescent="0.2">
      <c r="A52" s="176"/>
      <c r="B52" s="338" t="s">
        <v>11</v>
      </c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20"/>
      <c r="X52" s="320"/>
      <c r="Y52" s="320"/>
      <c r="Z52" s="320"/>
      <c r="AA52" s="320"/>
      <c r="AB52" s="320"/>
      <c r="AC52" s="320"/>
      <c r="AD52" s="340"/>
    </row>
    <row r="53" spans="1:30" s="153" customFormat="1" ht="17.100000000000001" customHeight="1" x14ac:dyDescent="0.2">
      <c r="A53" s="176"/>
      <c r="B53" s="321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41"/>
    </row>
    <row r="54" spans="1:30" s="153" customFormat="1" ht="17.100000000000001" customHeight="1" x14ac:dyDescent="0.2">
      <c r="A54" s="176"/>
      <c r="B54" s="342" t="s">
        <v>0</v>
      </c>
      <c r="C54" s="343" t="s">
        <v>58</v>
      </c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5"/>
    </row>
    <row r="55" spans="1:30" s="153" customFormat="1" ht="17.100000000000001" customHeight="1" x14ac:dyDescent="0.2">
      <c r="A55" s="176"/>
      <c r="B55" s="313"/>
      <c r="C55" s="346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7"/>
      <c r="AB55" s="347"/>
      <c r="AC55" s="347"/>
      <c r="AD55" s="348"/>
    </row>
    <row r="56" spans="1:30" s="153" customFormat="1" ht="17.100000000000001" customHeight="1" x14ac:dyDescent="0.2">
      <c r="A56" s="176"/>
      <c r="B56" s="3">
        <v>1</v>
      </c>
      <c r="C56" s="144" t="s">
        <v>84</v>
      </c>
    </row>
    <row r="57" spans="1:30" s="153" customFormat="1" ht="17.100000000000001" customHeight="1" x14ac:dyDescent="0.2">
      <c r="A57" s="176"/>
      <c r="B57" s="3">
        <v>2</v>
      </c>
      <c r="C57" s="145" t="s">
        <v>85</v>
      </c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9"/>
    </row>
    <row r="58" spans="1:30" s="153" customFormat="1" ht="17.100000000000001" customHeight="1" x14ac:dyDescent="0.2">
      <c r="A58" s="176"/>
      <c r="B58" s="3">
        <v>3</v>
      </c>
      <c r="C58" s="145" t="s">
        <v>86</v>
      </c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9"/>
    </row>
    <row r="59" spans="1:30" s="153" customFormat="1" ht="17.100000000000001" customHeight="1" x14ac:dyDescent="0.2">
      <c r="A59" s="176"/>
      <c r="B59" s="5">
        <v>4</v>
      </c>
      <c r="C59" s="145" t="s">
        <v>87</v>
      </c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9"/>
    </row>
    <row r="60" spans="1:30" s="153" customFormat="1" ht="17.100000000000001" customHeight="1" x14ac:dyDescent="0.2">
      <c r="A60" s="176"/>
      <c r="B60" s="3">
        <v>5</v>
      </c>
      <c r="C60" s="167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9"/>
    </row>
    <row r="61" spans="1:30" s="153" customFormat="1" ht="17.100000000000001" customHeight="1" x14ac:dyDescent="0.2">
      <c r="A61" s="176"/>
      <c r="B61" s="3">
        <v>6</v>
      </c>
      <c r="C61" s="167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9"/>
    </row>
    <row r="62" spans="1:30" s="153" customFormat="1" ht="17.100000000000001" customHeight="1" x14ac:dyDescent="0.2">
      <c r="A62" s="176"/>
      <c r="B62" s="3">
        <v>7</v>
      </c>
      <c r="C62" s="316"/>
      <c r="D62" s="317"/>
      <c r="E62" s="317"/>
      <c r="F62" s="317"/>
      <c r="G62" s="317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8"/>
    </row>
    <row r="63" spans="1:30" s="153" customFormat="1" ht="17.100000000000001" customHeight="1" x14ac:dyDescent="0.2">
      <c r="A63" s="176"/>
      <c r="B63" s="3">
        <v>8</v>
      </c>
      <c r="C63" s="316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8"/>
    </row>
    <row r="64" spans="1:30" s="153" customFormat="1" ht="17.100000000000001" customHeight="1" thickBot="1" x14ac:dyDescent="0.25">
      <c r="A64" s="176"/>
      <c r="B64" s="4">
        <v>9</v>
      </c>
      <c r="C64" s="316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8"/>
    </row>
    <row r="65" spans="1:30" s="153" customFormat="1" ht="17.100000000000001" customHeight="1" thickTop="1" x14ac:dyDescent="0.2">
      <c r="A65" s="176"/>
      <c r="B65" s="319" t="s">
        <v>59</v>
      </c>
      <c r="C65" s="320"/>
      <c r="D65" s="320"/>
      <c r="E65" s="320"/>
      <c r="F65" s="320"/>
      <c r="G65" s="320"/>
      <c r="H65" s="320"/>
      <c r="I65" s="302" t="s">
        <v>15</v>
      </c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  <c r="X65" s="303"/>
      <c r="Y65" s="303"/>
      <c r="Z65" s="303"/>
      <c r="AA65" s="303"/>
      <c r="AB65" s="303"/>
      <c r="AC65" s="303"/>
      <c r="AD65" s="304"/>
    </row>
    <row r="66" spans="1:30" s="153" customFormat="1" ht="17.100000000000001" customHeight="1" x14ac:dyDescent="0.2">
      <c r="A66" s="176"/>
      <c r="B66" s="321"/>
      <c r="C66" s="322"/>
      <c r="D66" s="322"/>
      <c r="E66" s="322"/>
      <c r="F66" s="322"/>
      <c r="G66" s="322"/>
      <c r="H66" s="322"/>
      <c r="I66" s="305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7"/>
    </row>
    <row r="67" spans="1:30" s="153" customFormat="1" ht="17.100000000000001" customHeight="1" x14ac:dyDescent="0.2">
      <c r="A67" s="176"/>
      <c r="B67" s="151" t="s">
        <v>0</v>
      </c>
      <c r="C67" s="323" t="s">
        <v>12</v>
      </c>
      <c r="D67" s="324"/>
      <c r="E67" s="324"/>
      <c r="F67" s="325"/>
      <c r="G67" s="122" t="s">
        <v>13</v>
      </c>
      <c r="H67" s="123" t="s">
        <v>14</v>
      </c>
      <c r="I67" s="39" t="s">
        <v>30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5"/>
    </row>
    <row r="68" spans="1:30" s="153" customFormat="1" ht="17.100000000000001" customHeight="1" x14ac:dyDescent="0.2">
      <c r="A68" s="176"/>
      <c r="B68" s="3">
        <v>1</v>
      </c>
      <c r="C68" s="104" t="s">
        <v>79</v>
      </c>
      <c r="D68" s="105"/>
      <c r="E68" s="105"/>
      <c r="F68" s="106"/>
      <c r="G68" s="27">
        <v>1</v>
      </c>
      <c r="H68" s="26" t="s">
        <v>27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3"/>
    </row>
    <row r="69" spans="1:30" s="153" customFormat="1" ht="17.100000000000001" customHeight="1" x14ac:dyDescent="0.2">
      <c r="A69" s="176"/>
      <c r="B69" s="3">
        <v>2</v>
      </c>
      <c r="C69" s="133" t="s">
        <v>88</v>
      </c>
      <c r="D69" s="105"/>
      <c r="E69" s="105"/>
      <c r="F69" s="106"/>
      <c r="G69" s="27"/>
      <c r="H69" s="26"/>
      <c r="I69" s="24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1"/>
    </row>
    <row r="70" spans="1:30" s="153" customFormat="1" ht="12.75" customHeight="1" x14ac:dyDescent="0.2">
      <c r="A70" s="176"/>
      <c r="B70" s="3">
        <v>3</v>
      </c>
      <c r="C70" s="145"/>
      <c r="D70" s="168"/>
      <c r="E70" s="168"/>
      <c r="F70" s="148"/>
      <c r="G70" s="27"/>
      <c r="H70" s="26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3"/>
    </row>
    <row r="71" spans="1:30" s="153" customFormat="1" ht="15.75" customHeight="1" x14ac:dyDescent="0.2">
      <c r="A71" s="176"/>
      <c r="B71" s="3">
        <v>4</v>
      </c>
      <c r="C71" s="145"/>
      <c r="D71" s="168"/>
      <c r="E71" s="168"/>
      <c r="F71" s="148"/>
      <c r="G71" s="28"/>
      <c r="H71" s="6"/>
      <c r="I71" s="39" t="s">
        <v>80</v>
      </c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1"/>
    </row>
    <row r="72" spans="1:30" s="153" customFormat="1" ht="17.100000000000001" customHeight="1" x14ac:dyDescent="0.2">
      <c r="A72" s="176"/>
      <c r="B72" s="3">
        <v>5</v>
      </c>
      <c r="C72" s="145"/>
      <c r="D72" s="168"/>
      <c r="E72" s="168"/>
      <c r="G72" s="28"/>
      <c r="H72" s="6"/>
      <c r="I72" s="36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1"/>
    </row>
    <row r="73" spans="1:30" s="153" customFormat="1" ht="17.100000000000001" customHeight="1" x14ac:dyDescent="0.2">
      <c r="A73" s="176"/>
      <c r="B73" s="3">
        <v>6</v>
      </c>
      <c r="C73" s="149"/>
      <c r="D73" s="21"/>
      <c r="E73" s="21"/>
      <c r="F73" s="150"/>
      <c r="G73" s="28"/>
      <c r="H73" s="6"/>
      <c r="I73" s="36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3"/>
    </row>
    <row r="74" spans="1:30" s="153" customFormat="1" ht="17.100000000000001" customHeight="1" x14ac:dyDescent="0.2">
      <c r="A74" s="176"/>
      <c r="B74" s="3">
        <v>7</v>
      </c>
      <c r="C74" s="326"/>
      <c r="D74" s="327"/>
      <c r="E74" s="327"/>
      <c r="F74" s="328"/>
      <c r="G74" s="28"/>
      <c r="H74" s="6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3"/>
    </row>
    <row r="75" spans="1:30" s="153" customFormat="1" ht="17.100000000000001" customHeight="1" x14ac:dyDescent="0.2">
      <c r="A75" s="176"/>
      <c r="B75" s="3">
        <v>8</v>
      </c>
      <c r="C75" s="326"/>
      <c r="D75" s="327"/>
      <c r="E75" s="327"/>
      <c r="F75" s="328"/>
      <c r="G75" s="29"/>
      <c r="H75" s="8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/>
    </row>
    <row r="76" spans="1:30" s="153" customFormat="1" ht="17.100000000000001" customHeight="1" x14ac:dyDescent="0.2">
      <c r="A76" s="176"/>
      <c r="B76" s="3">
        <v>9</v>
      </c>
      <c r="C76" s="326"/>
      <c r="D76" s="327"/>
      <c r="E76" s="327"/>
      <c r="F76" s="328"/>
      <c r="G76" s="29"/>
      <c r="H76" s="8"/>
      <c r="I76" s="39" t="s">
        <v>268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3"/>
    </row>
    <row r="77" spans="1:30" s="153" customFormat="1" ht="17.100000000000001" customHeight="1" x14ac:dyDescent="0.2">
      <c r="A77" s="176"/>
      <c r="B77" s="3">
        <v>10</v>
      </c>
      <c r="C77" s="326"/>
      <c r="D77" s="327"/>
      <c r="E77" s="327"/>
      <c r="F77" s="328"/>
      <c r="G77" s="29"/>
      <c r="H77" s="8"/>
      <c r="I77" s="146" t="s">
        <v>266</v>
      </c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1"/>
    </row>
    <row r="78" spans="1:30" s="153" customFormat="1" ht="17.100000000000001" customHeight="1" x14ac:dyDescent="0.2">
      <c r="A78" s="176"/>
      <c r="B78" s="3">
        <v>11</v>
      </c>
      <c r="C78" s="326"/>
      <c r="D78" s="327"/>
      <c r="E78" s="327"/>
      <c r="F78" s="328"/>
      <c r="G78" s="7"/>
      <c r="H78" s="8"/>
      <c r="I78" s="146" t="s">
        <v>267</v>
      </c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3"/>
    </row>
    <row r="79" spans="1:30" s="153" customFormat="1" ht="17.100000000000001" customHeight="1" thickBot="1" x14ac:dyDescent="0.25">
      <c r="A79" s="176"/>
      <c r="B79" s="4">
        <v>12</v>
      </c>
      <c r="C79" s="329"/>
      <c r="D79" s="330"/>
      <c r="E79" s="330"/>
      <c r="F79" s="330"/>
      <c r="G79" s="120"/>
      <c r="H79" s="121"/>
      <c r="I79" s="146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8"/>
    </row>
    <row r="80" spans="1:30" s="153" customFormat="1" ht="17.100000000000001" customHeight="1" thickTop="1" x14ac:dyDescent="0.2">
      <c r="A80" s="176"/>
      <c r="B80" s="312" t="s">
        <v>0</v>
      </c>
      <c r="C80" s="314" t="s">
        <v>16</v>
      </c>
      <c r="D80" s="303"/>
      <c r="E80" s="303"/>
      <c r="F80" s="303"/>
      <c r="G80" s="303"/>
      <c r="H80" s="304"/>
      <c r="I80" s="302" t="s">
        <v>17</v>
      </c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  <c r="AB80" s="303"/>
      <c r="AC80" s="303"/>
      <c r="AD80" s="304"/>
    </row>
    <row r="81" spans="1:30" s="153" customFormat="1" ht="17.100000000000001" customHeight="1" x14ac:dyDescent="0.2">
      <c r="A81" s="176"/>
      <c r="B81" s="313"/>
      <c r="C81" s="315"/>
      <c r="D81" s="306"/>
      <c r="E81" s="306"/>
      <c r="F81" s="306"/>
      <c r="G81" s="306"/>
      <c r="H81" s="307"/>
      <c r="I81" s="305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7"/>
    </row>
    <row r="82" spans="1:30" s="153" customFormat="1" ht="17.100000000000001" customHeight="1" x14ac:dyDescent="0.2">
      <c r="A82" s="176"/>
      <c r="B82" s="2">
        <v>1</v>
      </c>
      <c r="C82" s="142" t="s">
        <v>81</v>
      </c>
      <c r="D82" s="134"/>
      <c r="E82" s="134"/>
      <c r="F82" s="134"/>
      <c r="G82" s="134"/>
      <c r="H82" s="135"/>
      <c r="I82" s="284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8"/>
    </row>
    <row r="83" spans="1:30" s="153" customFormat="1" ht="17.100000000000001" customHeight="1" x14ac:dyDescent="0.2">
      <c r="A83" s="176"/>
      <c r="B83" s="3">
        <v>2</v>
      </c>
      <c r="C83" s="139"/>
      <c r="D83" s="158"/>
      <c r="E83" s="158"/>
      <c r="F83" s="158"/>
      <c r="G83" s="158"/>
      <c r="H83" s="159"/>
      <c r="I83" s="152"/>
      <c r="J83" s="124"/>
      <c r="L83" s="163" t="s">
        <v>28</v>
      </c>
      <c r="T83" s="156"/>
      <c r="U83" s="9"/>
      <c r="W83" s="108" t="s">
        <v>68</v>
      </c>
      <c r="AD83" s="154"/>
    </row>
    <row r="84" spans="1:30" s="153" customFormat="1" ht="17.100000000000001" customHeight="1" x14ac:dyDescent="0.2">
      <c r="A84" s="176"/>
      <c r="B84" s="3"/>
      <c r="C84" s="155"/>
      <c r="D84" s="158"/>
      <c r="E84" s="158"/>
      <c r="F84" s="158"/>
      <c r="G84" s="158"/>
      <c r="H84" s="159"/>
      <c r="I84" s="152"/>
      <c r="J84" s="109"/>
      <c r="L84" s="163"/>
      <c r="U84" s="110"/>
      <c r="AD84" s="154"/>
    </row>
    <row r="85" spans="1:30" s="153" customFormat="1" ht="17.100000000000001" customHeight="1" x14ac:dyDescent="0.2">
      <c r="A85" s="176"/>
      <c r="B85" s="3"/>
      <c r="C85" s="157"/>
      <c r="D85" s="158"/>
      <c r="E85" s="158"/>
      <c r="F85" s="158"/>
      <c r="G85" s="158"/>
      <c r="H85" s="159"/>
      <c r="I85" s="152"/>
      <c r="J85" s="158"/>
      <c r="U85" s="158"/>
      <c r="AD85" s="154"/>
    </row>
    <row r="86" spans="1:30" s="153" customFormat="1" ht="17.100000000000001" customHeight="1" x14ac:dyDescent="0.2">
      <c r="A86" s="176"/>
      <c r="B86" s="3">
        <v>3</v>
      </c>
      <c r="C86" s="136"/>
      <c r="D86" s="137"/>
      <c r="E86" s="137"/>
      <c r="F86" s="137"/>
      <c r="H86" s="138"/>
      <c r="I86" s="152"/>
      <c r="J86" s="111"/>
      <c r="U86" s="111"/>
      <c r="AD86" s="154"/>
    </row>
    <row r="87" spans="1:30" s="153" customFormat="1" ht="17.100000000000001" customHeight="1" x14ac:dyDescent="0.2">
      <c r="A87" s="176"/>
      <c r="B87" s="3">
        <v>4</v>
      </c>
      <c r="C87" s="136"/>
      <c r="D87" s="137"/>
      <c r="E87" s="137"/>
      <c r="F87" s="137"/>
      <c r="G87" s="137"/>
      <c r="H87" s="138"/>
      <c r="I87" s="152"/>
      <c r="J87" s="187"/>
      <c r="L87" s="163" t="s">
        <v>69</v>
      </c>
      <c r="T87" s="156"/>
      <c r="U87" s="119"/>
      <c r="W87" s="163" t="s">
        <v>67</v>
      </c>
      <c r="AD87" s="154"/>
    </row>
    <row r="88" spans="1:30" s="153" customFormat="1" ht="17.100000000000001" customHeight="1" x14ac:dyDescent="0.2">
      <c r="A88" s="176"/>
      <c r="B88" s="3">
        <v>5</v>
      </c>
      <c r="C88" s="136"/>
      <c r="D88" s="137"/>
      <c r="E88" s="137"/>
      <c r="F88" s="137"/>
      <c r="G88" s="137"/>
      <c r="H88" s="138"/>
      <c r="I88" s="296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8"/>
    </row>
    <row r="89" spans="1:30" s="153" customFormat="1" ht="17.100000000000001" customHeight="1" thickBot="1" x14ac:dyDescent="0.25">
      <c r="A89" s="176"/>
      <c r="B89" s="3">
        <v>6</v>
      </c>
      <c r="C89" s="136"/>
      <c r="D89" s="137"/>
      <c r="E89" s="137"/>
      <c r="F89" s="137"/>
      <c r="G89" s="137"/>
      <c r="H89" s="138"/>
      <c r="I89" s="299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1"/>
    </row>
    <row r="90" spans="1:30" s="153" customFormat="1" ht="17.100000000000001" customHeight="1" thickTop="1" x14ac:dyDescent="0.2">
      <c r="A90" s="176"/>
      <c r="B90" s="3"/>
      <c r="C90" s="136"/>
      <c r="D90" s="137"/>
      <c r="E90" s="137"/>
      <c r="F90" s="137"/>
      <c r="G90" s="137"/>
      <c r="H90" s="138"/>
      <c r="I90" s="302" t="s">
        <v>18</v>
      </c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303"/>
      <c r="AB90" s="303"/>
      <c r="AC90" s="303"/>
      <c r="AD90" s="304"/>
    </row>
    <row r="91" spans="1:30" s="153" customFormat="1" ht="17.100000000000001" customHeight="1" x14ac:dyDescent="0.2">
      <c r="A91" s="176"/>
      <c r="B91" s="3"/>
      <c r="C91" s="139"/>
      <c r="D91" s="140"/>
      <c r="E91" s="140"/>
      <c r="F91" s="140"/>
      <c r="G91" s="140"/>
      <c r="H91" s="141"/>
      <c r="I91" s="305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7"/>
    </row>
    <row r="92" spans="1:30" s="153" customFormat="1" ht="17.100000000000001" customHeight="1" x14ac:dyDescent="0.2">
      <c r="A92" s="176"/>
      <c r="B92" s="3">
        <v>8</v>
      </c>
      <c r="C92" s="160"/>
      <c r="D92" s="161"/>
      <c r="E92" s="161"/>
      <c r="F92" s="161"/>
      <c r="G92" s="161"/>
      <c r="H92" s="162"/>
      <c r="I92" s="284"/>
      <c r="J92" s="286" t="s">
        <v>60</v>
      </c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 t="s">
        <v>61</v>
      </c>
      <c r="W92" s="286"/>
      <c r="X92" s="286"/>
      <c r="Y92" s="286"/>
      <c r="Z92" s="286"/>
      <c r="AA92" s="286"/>
      <c r="AB92" s="286"/>
      <c r="AC92" s="286"/>
      <c r="AD92" s="287"/>
    </row>
    <row r="93" spans="1:30" s="153" customFormat="1" ht="17.100000000000001" customHeight="1" x14ac:dyDescent="0.2">
      <c r="A93" s="176"/>
      <c r="B93" s="3">
        <v>9</v>
      </c>
      <c r="C93" s="160"/>
      <c r="D93" s="161"/>
      <c r="E93" s="161"/>
      <c r="F93" s="161"/>
      <c r="G93" s="161"/>
      <c r="H93" s="162"/>
      <c r="I93" s="284"/>
      <c r="J93" s="125"/>
      <c r="K93" s="280" t="s">
        <v>19</v>
      </c>
      <c r="L93" s="281"/>
      <c r="M93" s="281"/>
      <c r="N93" s="281"/>
      <c r="O93" s="281"/>
      <c r="P93" s="281"/>
      <c r="Q93" s="281"/>
      <c r="R93" s="281"/>
      <c r="S93" s="281"/>
      <c r="T93" s="281"/>
      <c r="U93" s="282"/>
      <c r="V93" s="126"/>
      <c r="W93" s="280" t="s">
        <v>63</v>
      </c>
      <c r="X93" s="285"/>
      <c r="Y93" s="285"/>
      <c r="Z93" s="285"/>
      <c r="AA93" s="285"/>
      <c r="AB93" s="285"/>
      <c r="AC93" s="285"/>
      <c r="AD93" s="288"/>
    </row>
    <row r="94" spans="1:30" s="153" customFormat="1" ht="17.100000000000001" customHeight="1" x14ac:dyDescent="0.2">
      <c r="A94" s="176"/>
      <c r="B94" s="3">
        <v>10</v>
      </c>
      <c r="C94" s="160"/>
      <c r="D94" s="161"/>
      <c r="E94" s="161"/>
      <c r="F94" s="161"/>
      <c r="G94" s="161"/>
      <c r="H94" s="162"/>
      <c r="I94" s="284"/>
      <c r="J94" s="12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2"/>
      <c r="AD94" s="154"/>
    </row>
    <row r="95" spans="1:30" s="153" customFormat="1" ht="17.100000000000001" customHeight="1" x14ac:dyDescent="0.2">
      <c r="A95" s="176"/>
      <c r="B95" s="3">
        <v>11</v>
      </c>
      <c r="C95" s="291"/>
      <c r="D95" s="292"/>
      <c r="E95" s="292"/>
      <c r="F95" s="292"/>
      <c r="G95" s="292"/>
      <c r="H95" s="293"/>
      <c r="I95" s="284"/>
      <c r="J95" s="11"/>
      <c r="K95" s="280" t="s">
        <v>20</v>
      </c>
      <c r="L95" s="281"/>
      <c r="M95" s="281"/>
      <c r="N95" s="281"/>
      <c r="O95" s="281"/>
      <c r="P95" s="281"/>
      <c r="Q95" s="281"/>
      <c r="R95" s="281"/>
      <c r="S95" s="281"/>
      <c r="T95" s="281"/>
      <c r="U95" s="282"/>
      <c r="V95" s="125"/>
      <c r="W95" s="280" t="s">
        <v>2</v>
      </c>
      <c r="X95" s="281"/>
      <c r="Y95" s="281"/>
      <c r="Z95" s="281"/>
      <c r="AA95" s="281"/>
      <c r="AB95" s="281"/>
      <c r="AC95" s="281"/>
      <c r="AD95" s="283"/>
    </row>
    <row r="96" spans="1:30" s="153" customFormat="1" ht="17.100000000000001" customHeight="1" x14ac:dyDescent="0.2">
      <c r="A96" s="176"/>
      <c r="B96" s="3"/>
      <c r="C96" s="137"/>
      <c r="D96" s="161"/>
      <c r="E96" s="289"/>
      <c r="F96" s="289"/>
      <c r="G96" s="289"/>
      <c r="H96" s="290"/>
      <c r="I96" s="284"/>
      <c r="J96" s="12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2"/>
      <c r="W96" s="163"/>
      <c r="X96" s="163"/>
      <c r="Y96" s="163"/>
      <c r="Z96" s="163"/>
      <c r="AA96" s="163"/>
      <c r="AB96" s="163"/>
      <c r="AC96" s="163"/>
      <c r="AD96" s="164"/>
    </row>
    <row r="97" spans="1:30" s="153" customFormat="1" ht="17.100000000000001" customHeight="1" x14ac:dyDescent="0.2">
      <c r="A97" s="176"/>
      <c r="B97" s="3"/>
      <c r="C97" s="308" t="s">
        <v>199</v>
      </c>
      <c r="D97" s="309"/>
      <c r="E97" s="309"/>
      <c r="F97" s="309"/>
      <c r="G97" s="309"/>
      <c r="H97" s="310"/>
      <c r="I97" s="285"/>
      <c r="J97" s="11"/>
      <c r="K97" s="280" t="s">
        <v>21</v>
      </c>
      <c r="L97" s="281"/>
      <c r="M97" s="281"/>
      <c r="N97" s="281"/>
      <c r="O97" s="281"/>
      <c r="P97" s="281"/>
      <c r="Q97" s="281"/>
      <c r="R97" s="281"/>
      <c r="S97" s="281"/>
      <c r="T97" s="281"/>
      <c r="U97" s="282"/>
      <c r="V97" s="125"/>
      <c r="W97" s="280" t="s">
        <v>64</v>
      </c>
      <c r="X97" s="281"/>
      <c r="Y97" s="281"/>
      <c r="Z97" s="281"/>
      <c r="AA97" s="281"/>
      <c r="AB97" s="281"/>
      <c r="AC97" s="281"/>
      <c r="AD97" s="283"/>
    </row>
    <row r="98" spans="1:30" s="153" customFormat="1" ht="17.100000000000001" customHeight="1" x14ac:dyDescent="0.2">
      <c r="A98" s="176"/>
      <c r="B98" s="3"/>
      <c r="C98" s="179"/>
      <c r="D98" s="177"/>
      <c r="E98" s="177"/>
      <c r="F98" s="177"/>
      <c r="G98" s="177"/>
      <c r="H98" s="178"/>
      <c r="I98" s="284"/>
      <c r="J98" s="12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2"/>
      <c r="W98" s="163"/>
      <c r="X98" s="163"/>
      <c r="Y98" s="163"/>
      <c r="Z98" s="163"/>
      <c r="AA98" s="163"/>
      <c r="AB98" s="163"/>
      <c r="AC98" s="163"/>
      <c r="AD98" s="164"/>
    </row>
    <row r="99" spans="1:30" s="153" customFormat="1" ht="17.100000000000001" customHeight="1" x14ac:dyDescent="0.2">
      <c r="A99" s="176"/>
      <c r="B99" s="3"/>
      <c r="C99" s="278"/>
      <c r="D99" s="276"/>
      <c r="E99" s="276"/>
      <c r="F99" s="276"/>
      <c r="G99" s="276"/>
      <c r="H99" s="279"/>
      <c r="I99" s="284"/>
      <c r="J99" s="11"/>
      <c r="K99" s="280" t="s">
        <v>62</v>
      </c>
      <c r="L99" s="281"/>
      <c r="M99" s="281"/>
      <c r="N99" s="281"/>
      <c r="O99" s="281"/>
      <c r="P99" s="281"/>
      <c r="Q99" s="281"/>
      <c r="R99" s="281"/>
      <c r="S99" s="281"/>
      <c r="T99" s="281"/>
      <c r="U99" s="282"/>
      <c r="V99" s="125"/>
      <c r="W99" s="280" t="s">
        <v>23</v>
      </c>
      <c r="X99" s="281"/>
      <c r="Y99" s="281"/>
      <c r="Z99" s="281"/>
      <c r="AA99" s="281"/>
      <c r="AB99" s="281"/>
      <c r="AC99" s="281"/>
      <c r="AD99" s="283"/>
    </row>
    <row r="100" spans="1:30" s="153" customFormat="1" ht="17.100000000000001" customHeight="1" x14ac:dyDescent="0.2">
      <c r="A100" s="176"/>
      <c r="B100" s="3"/>
      <c r="C100" s="278"/>
      <c r="D100" s="276"/>
      <c r="E100" s="276"/>
      <c r="F100" s="276"/>
      <c r="G100" s="276"/>
      <c r="H100" s="279"/>
      <c r="I100" s="284"/>
      <c r="J100" s="12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2"/>
      <c r="W100" s="163"/>
      <c r="X100" s="163"/>
      <c r="Y100" s="163"/>
      <c r="Z100" s="163"/>
      <c r="AA100" s="163"/>
      <c r="AB100" s="163"/>
      <c r="AC100" s="163"/>
      <c r="AD100" s="164"/>
    </row>
    <row r="101" spans="1:30" s="153" customFormat="1" ht="17.100000000000001" customHeight="1" x14ac:dyDescent="0.2">
      <c r="A101" s="176"/>
      <c r="B101" s="3"/>
      <c r="C101" s="278"/>
      <c r="D101" s="276"/>
      <c r="E101" s="276"/>
      <c r="F101" s="276"/>
      <c r="G101" s="276"/>
      <c r="H101" s="279"/>
      <c r="I101" s="284"/>
      <c r="J101" s="13"/>
      <c r="K101" s="294" t="s">
        <v>22</v>
      </c>
      <c r="L101" s="285"/>
      <c r="M101" s="285"/>
      <c r="N101" s="285"/>
      <c r="O101" s="285"/>
      <c r="P101" s="285"/>
      <c r="Q101" s="285"/>
      <c r="R101" s="285"/>
      <c r="S101" s="285"/>
      <c r="T101" s="285"/>
      <c r="U101" s="295"/>
      <c r="V101" s="147"/>
      <c r="W101" s="311" t="s">
        <v>65</v>
      </c>
      <c r="X101" s="276"/>
      <c r="Y101" s="276"/>
      <c r="Z101" s="276"/>
      <c r="AA101" s="276"/>
      <c r="AB101" s="276"/>
      <c r="AC101" s="276"/>
      <c r="AD101" s="279"/>
    </row>
    <row r="102" spans="1:30" s="153" customFormat="1" ht="17.100000000000001" customHeight="1" thickBot="1" x14ac:dyDescent="0.25">
      <c r="A102" s="176"/>
      <c r="B102" s="4"/>
      <c r="C102" s="270"/>
      <c r="D102" s="271"/>
      <c r="E102" s="271"/>
      <c r="F102" s="271"/>
      <c r="G102" s="271"/>
      <c r="H102" s="272"/>
      <c r="I102" s="273" t="s">
        <v>66</v>
      </c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  <c r="AB102" s="274"/>
      <c r="AC102" s="274"/>
      <c r="AD102" s="275"/>
    </row>
    <row r="103" spans="1:30" s="153" customFormat="1" ht="17.100000000000001" customHeight="1" thickTop="1" x14ac:dyDescent="0.2">
      <c r="A103" s="176"/>
    </row>
    <row r="104" spans="1:30" s="153" customFormat="1" ht="17.100000000000001" customHeight="1" x14ac:dyDescent="0.2">
      <c r="A104" s="176"/>
    </row>
    <row r="105" spans="1:30" s="153" customFormat="1" ht="17.100000000000001" customHeight="1" x14ac:dyDescent="0.2">
      <c r="A105" s="1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</row>
    <row r="106" spans="1:30" s="153" customFormat="1" ht="17.100000000000001" customHeight="1" x14ac:dyDescent="0.2">
      <c r="A106" s="176"/>
      <c r="B106" s="269"/>
      <c r="C106" s="269"/>
      <c r="D106" s="269"/>
      <c r="E106" s="269"/>
      <c r="F106" s="269"/>
      <c r="G106" s="269"/>
      <c r="H106" s="269"/>
      <c r="I106" s="165"/>
      <c r="J106" s="269" t="s">
        <v>3</v>
      </c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165"/>
    </row>
    <row r="107" spans="1:30" s="153" customFormat="1" ht="17.100000000000001" customHeight="1" x14ac:dyDescent="0.2">
      <c r="A107" s="176"/>
      <c r="B107" s="269"/>
      <c r="C107" s="269"/>
      <c r="D107" s="269"/>
      <c r="E107" s="269"/>
      <c r="F107" s="269"/>
      <c r="G107" s="269"/>
      <c r="H107" s="269"/>
      <c r="J107" s="277" t="s">
        <v>24</v>
      </c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166"/>
      <c r="AB107" s="166"/>
      <c r="AC107" s="166"/>
      <c r="AD107" s="166"/>
    </row>
    <row r="108" spans="1:30" s="153" customFormat="1" ht="17.100000000000001" customHeight="1" x14ac:dyDescent="0.2">
      <c r="A108" s="176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</row>
    <row r="109" spans="1:30" ht="23.25" x14ac:dyDescent="0.2"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</sheetData>
  <mergeCells count="183">
    <mergeCell ref="W50:Z50"/>
    <mergeCell ref="AA50:AD50"/>
    <mergeCell ref="W43:Z43"/>
    <mergeCell ref="AA43:AD43"/>
    <mergeCell ref="W44:Z44"/>
    <mergeCell ref="AA44:AD44"/>
    <mergeCell ref="W45:Z45"/>
    <mergeCell ref="W46:Z46"/>
    <mergeCell ref="AA45:AD45"/>
    <mergeCell ref="AA46:AD46"/>
    <mergeCell ref="W48:Z48"/>
    <mergeCell ref="AA48:AD48"/>
    <mergeCell ref="W38:Z38"/>
    <mergeCell ref="AA38:AD38"/>
    <mergeCell ref="W39:Z39"/>
    <mergeCell ref="AA39:AD39"/>
    <mergeCell ref="W40:Z40"/>
    <mergeCell ref="AA40:AD40"/>
    <mergeCell ref="W41:Z41"/>
    <mergeCell ref="AA41:AD41"/>
    <mergeCell ref="W42:Z42"/>
    <mergeCell ref="AA42:AD42"/>
    <mergeCell ref="W33:Z33"/>
    <mergeCell ref="AA33:AD33"/>
    <mergeCell ref="W34:Z34"/>
    <mergeCell ref="AA34:AD34"/>
    <mergeCell ref="W35:Z35"/>
    <mergeCell ref="AA35:AD35"/>
    <mergeCell ref="W36:Z36"/>
    <mergeCell ref="AA36:AD36"/>
    <mergeCell ref="W37:Z37"/>
    <mergeCell ref="AA37:AD37"/>
    <mergeCell ref="W28:Z28"/>
    <mergeCell ref="AA28:AD28"/>
    <mergeCell ref="W29:Z29"/>
    <mergeCell ref="AA29:AD29"/>
    <mergeCell ref="W30:Z30"/>
    <mergeCell ref="AA30:AD30"/>
    <mergeCell ref="W31:Z31"/>
    <mergeCell ref="AA31:AD31"/>
    <mergeCell ref="W32:Z32"/>
    <mergeCell ref="AA32:AD32"/>
    <mergeCell ref="W23:Z23"/>
    <mergeCell ref="AA23:AD23"/>
    <mergeCell ref="W24:Z24"/>
    <mergeCell ref="AA24:AD24"/>
    <mergeCell ref="W25:Z25"/>
    <mergeCell ref="AA25:AD25"/>
    <mergeCell ref="W26:Z26"/>
    <mergeCell ref="AA26:AD26"/>
    <mergeCell ref="W27:Z27"/>
    <mergeCell ref="AA27:AD27"/>
    <mergeCell ref="W18:Z18"/>
    <mergeCell ref="AA18:AD18"/>
    <mergeCell ref="W19:Z19"/>
    <mergeCell ref="AA19:AD19"/>
    <mergeCell ref="W20:Z20"/>
    <mergeCell ref="AA20:AD20"/>
    <mergeCell ref="W21:Z21"/>
    <mergeCell ref="AA21:AD21"/>
    <mergeCell ref="W22:Z22"/>
    <mergeCell ref="AA22:AD22"/>
    <mergeCell ref="W13:Z13"/>
    <mergeCell ref="AA13:AD13"/>
    <mergeCell ref="W14:Z14"/>
    <mergeCell ref="AA14:AD14"/>
    <mergeCell ref="W15:Z15"/>
    <mergeCell ref="AA15:AD15"/>
    <mergeCell ref="W16:Z16"/>
    <mergeCell ref="AA16:AD16"/>
    <mergeCell ref="W17:Z17"/>
    <mergeCell ref="AA17:AD17"/>
    <mergeCell ref="C35:V35"/>
    <mergeCell ref="C37:V37"/>
    <mergeCell ref="C36:V36"/>
    <mergeCell ref="C32:V32"/>
    <mergeCell ref="C15:V15"/>
    <mergeCell ref="C23:V23"/>
    <mergeCell ref="C24:V24"/>
    <mergeCell ref="C25:V25"/>
    <mergeCell ref="C26:V26"/>
    <mergeCell ref="C27:V27"/>
    <mergeCell ref="C28:V28"/>
    <mergeCell ref="C29:V29"/>
    <mergeCell ref="C30:V30"/>
    <mergeCell ref="C33:V33"/>
    <mergeCell ref="C34:V34"/>
    <mergeCell ref="C31:V31"/>
    <mergeCell ref="F1:AD1"/>
    <mergeCell ref="D2:E3"/>
    <mergeCell ref="F2:H2"/>
    <mergeCell ref="I2:AD2"/>
    <mergeCell ref="F3:H3"/>
    <mergeCell ref="C14:V14"/>
    <mergeCell ref="C17:V17"/>
    <mergeCell ref="B7:C7"/>
    <mergeCell ref="D7:AD7"/>
    <mergeCell ref="B8:B9"/>
    <mergeCell ref="C16:V16"/>
    <mergeCell ref="D4:E4"/>
    <mergeCell ref="F4:H4"/>
    <mergeCell ref="I4:AD4"/>
    <mergeCell ref="W11:Z11"/>
    <mergeCell ref="AA11:AD11"/>
    <mergeCell ref="F5:H5"/>
    <mergeCell ref="I5:AD5"/>
    <mergeCell ref="F6:H6"/>
    <mergeCell ref="I6:AD6"/>
    <mergeCell ref="C11:V11"/>
    <mergeCell ref="C8:V9"/>
    <mergeCell ref="W8:AD8"/>
    <mergeCell ref="W9:Z9"/>
    <mergeCell ref="AA9:AD9"/>
    <mergeCell ref="C62:AD62"/>
    <mergeCell ref="W12:Z12"/>
    <mergeCell ref="AA12:AD12"/>
    <mergeCell ref="B52:AD53"/>
    <mergeCell ref="B54:B55"/>
    <mergeCell ref="C54:AD55"/>
    <mergeCell ref="C18:V18"/>
    <mergeCell ref="C19:V19"/>
    <mergeCell ref="C12:V12"/>
    <mergeCell ref="C13:V13"/>
    <mergeCell ref="C20:V20"/>
    <mergeCell ref="C22:V22"/>
    <mergeCell ref="C42:V42"/>
    <mergeCell ref="C41:V41"/>
    <mergeCell ref="C38:V38"/>
    <mergeCell ref="C39:V39"/>
    <mergeCell ref="C40:V40"/>
    <mergeCell ref="C49:V49"/>
    <mergeCell ref="C50:V50"/>
    <mergeCell ref="C44:V44"/>
    <mergeCell ref="C21:V21"/>
    <mergeCell ref="C45:V45"/>
    <mergeCell ref="C43:V43"/>
    <mergeCell ref="B80:B81"/>
    <mergeCell ref="C80:H81"/>
    <mergeCell ref="C63:AD63"/>
    <mergeCell ref="C64:AD64"/>
    <mergeCell ref="B65:H66"/>
    <mergeCell ref="I65:AD66"/>
    <mergeCell ref="C67:F67"/>
    <mergeCell ref="C74:F74"/>
    <mergeCell ref="C75:F75"/>
    <mergeCell ref="C76:F76"/>
    <mergeCell ref="C77:F77"/>
    <mergeCell ref="C78:F78"/>
    <mergeCell ref="C79:F79"/>
    <mergeCell ref="I80:AD81"/>
    <mergeCell ref="C101:H101"/>
    <mergeCell ref="K101:U101"/>
    <mergeCell ref="I82:AD82"/>
    <mergeCell ref="I88:AD88"/>
    <mergeCell ref="I89:AD89"/>
    <mergeCell ref="I90:AD91"/>
    <mergeCell ref="W97:AD97"/>
    <mergeCell ref="C97:H97"/>
    <mergeCell ref="W101:AD101"/>
    <mergeCell ref="C46:V46"/>
    <mergeCell ref="C47:V47"/>
    <mergeCell ref="C48:V48"/>
    <mergeCell ref="B108:AD108"/>
    <mergeCell ref="C102:H102"/>
    <mergeCell ref="I102:AD102"/>
    <mergeCell ref="J105:AC105"/>
    <mergeCell ref="B106:H107"/>
    <mergeCell ref="J106:AC106"/>
    <mergeCell ref="J107:Z107"/>
    <mergeCell ref="C99:H99"/>
    <mergeCell ref="K99:U99"/>
    <mergeCell ref="W99:AD99"/>
    <mergeCell ref="C100:H100"/>
    <mergeCell ref="I92:I101"/>
    <mergeCell ref="J92:U92"/>
    <mergeCell ref="V92:AD92"/>
    <mergeCell ref="K93:U93"/>
    <mergeCell ref="W93:AD93"/>
    <mergeCell ref="E96:H96"/>
    <mergeCell ref="C95:H95"/>
    <mergeCell ref="K95:U95"/>
    <mergeCell ref="W95:AD95"/>
    <mergeCell ref="K97:U97"/>
  </mergeCells>
  <pageMargins left="0.19685039370078741" right="0.17" top="0.76" bottom="0.98425196850393704" header="0.51181102362204722" footer="0.51181102362204722"/>
  <pageSetup paperSize="9" scale="3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B1:L95"/>
  <sheetViews>
    <sheetView showGridLines="0" topLeftCell="A79" zoomScaleNormal="100" workbookViewId="0">
      <selection activeCell="AA12" sqref="AA12:AD12"/>
    </sheetView>
  </sheetViews>
  <sheetFormatPr baseColWidth="10" defaultColWidth="9.140625" defaultRowHeight="15" x14ac:dyDescent="0.2"/>
  <cols>
    <col min="1" max="1" width="3.85546875" style="48" customWidth="1"/>
    <col min="2" max="2" width="40.7109375" style="48" customWidth="1"/>
    <col min="3" max="4" width="15.140625" style="48" customWidth="1"/>
    <col min="5" max="5" width="16.42578125" style="48" customWidth="1"/>
    <col min="6" max="6" width="19.28515625" style="48" customWidth="1"/>
    <col min="7" max="7" width="16.7109375" style="48" customWidth="1"/>
    <col min="8" max="8" width="13.140625" style="48" bestFit="1" customWidth="1"/>
    <col min="9" max="9" width="20.7109375" style="48" customWidth="1"/>
    <col min="10" max="10" width="19.5703125" style="48" bestFit="1" customWidth="1"/>
    <col min="11" max="11" width="1.28515625" style="48" customWidth="1"/>
    <col min="12" max="12" width="14.140625" style="48" customWidth="1"/>
    <col min="13" max="13" width="15.85546875" style="48" bestFit="1" customWidth="1"/>
    <col min="14" max="16384" width="9.140625" style="48"/>
  </cols>
  <sheetData>
    <row r="1" spans="2:12" ht="18" customHeight="1" x14ac:dyDescent="0.2"/>
    <row r="2" spans="2:12" ht="18" customHeight="1" x14ac:dyDescent="0.2">
      <c r="H2" s="392"/>
      <c r="I2" s="392"/>
      <c r="J2" s="49"/>
    </row>
    <row r="3" spans="2:12" ht="18" customHeight="1" x14ac:dyDescent="0.2"/>
    <row r="4" spans="2:12" ht="15.75" x14ac:dyDescent="0.2">
      <c r="B4" s="393" t="s">
        <v>32</v>
      </c>
      <c r="C4" s="394"/>
      <c r="D4" s="394"/>
      <c r="E4" s="394"/>
      <c r="F4" s="394"/>
      <c r="G4" s="394"/>
      <c r="H4" s="394"/>
      <c r="I4" s="394"/>
      <c r="J4" s="395"/>
    </row>
    <row r="5" spans="2:12" x14ac:dyDescent="0.2">
      <c r="B5" s="50"/>
      <c r="C5" s="50"/>
      <c r="D5" s="50"/>
      <c r="E5" s="51"/>
      <c r="F5" s="52"/>
      <c r="G5" s="52"/>
      <c r="H5" s="50"/>
      <c r="I5" s="50"/>
      <c r="J5" s="51"/>
    </row>
    <row r="6" spans="2:12" x14ac:dyDescent="0.2">
      <c r="B6" s="396" t="s">
        <v>33</v>
      </c>
      <c r="C6" s="396"/>
      <c r="D6" s="396"/>
      <c r="E6" s="396"/>
      <c r="F6" s="396"/>
      <c r="G6" s="396"/>
      <c r="H6" s="396"/>
      <c r="I6" s="396"/>
      <c r="J6" s="396"/>
    </row>
    <row r="7" spans="2:12" ht="15" customHeight="1" x14ac:dyDescent="0.2">
      <c r="B7" s="397" t="s">
        <v>40</v>
      </c>
      <c r="C7" s="398"/>
      <c r="D7" s="398"/>
      <c r="E7" s="398"/>
      <c r="F7" s="399"/>
      <c r="G7" s="41" t="s">
        <v>49</v>
      </c>
      <c r="H7" s="41" t="s">
        <v>50</v>
      </c>
      <c r="I7" s="41" t="s">
        <v>51</v>
      </c>
      <c r="J7" s="41" t="s">
        <v>25</v>
      </c>
    </row>
    <row r="8" spans="2:12" x14ac:dyDescent="0.2">
      <c r="B8" s="53" t="s">
        <v>201</v>
      </c>
      <c r="C8" s="54"/>
      <c r="D8" s="54"/>
      <c r="E8" s="54"/>
      <c r="F8" s="55"/>
      <c r="G8" s="56">
        <v>1</v>
      </c>
      <c r="H8" s="56">
        <v>300</v>
      </c>
      <c r="I8" s="222">
        <v>40</v>
      </c>
      <c r="J8" s="223">
        <f>+I8*H8</f>
        <v>12000</v>
      </c>
    </row>
    <row r="9" spans="2:12" ht="13.5" customHeight="1" x14ac:dyDescent="0.2">
      <c r="B9" s="53" t="s">
        <v>202</v>
      </c>
      <c r="C9" s="54"/>
      <c r="D9" s="54"/>
      <c r="E9" s="54"/>
      <c r="F9" s="55"/>
      <c r="G9" s="56">
        <v>1</v>
      </c>
      <c r="H9" s="56">
        <v>750</v>
      </c>
      <c r="I9" s="222">
        <v>30</v>
      </c>
      <c r="J9" s="223">
        <f>+I9*H9</f>
        <v>22500</v>
      </c>
    </row>
    <row r="10" spans="2:12" ht="12.75" customHeight="1" x14ac:dyDescent="0.2">
      <c r="B10" s="53" t="s">
        <v>203</v>
      </c>
      <c r="C10" s="54"/>
      <c r="D10" s="54"/>
      <c r="E10" s="54"/>
      <c r="F10" s="55"/>
      <c r="G10" s="56">
        <v>1</v>
      </c>
      <c r="H10" s="56">
        <v>750</v>
      </c>
      <c r="I10" s="222">
        <v>25</v>
      </c>
      <c r="J10" s="223">
        <f t="shared" ref="J10:J20" si="0">I10*H10</f>
        <v>18750</v>
      </c>
      <c r="L10" s="59"/>
    </row>
    <row r="11" spans="2:12" x14ac:dyDescent="0.2">
      <c r="B11" s="53" t="s">
        <v>204</v>
      </c>
      <c r="C11" s="54"/>
      <c r="D11" s="54"/>
      <c r="E11" s="54"/>
      <c r="F11" s="55"/>
      <c r="G11" s="56">
        <v>1</v>
      </c>
      <c r="H11" s="56">
        <v>750</v>
      </c>
      <c r="I11" s="222">
        <v>20</v>
      </c>
      <c r="J11" s="223">
        <f t="shared" si="0"/>
        <v>15000</v>
      </c>
      <c r="L11" s="59"/>
    </row>
    <row r="12" spans="2:12" x14ac:dyDescent="0.2">
      <c r="B12" s="53" t="s">
        <v>205</v>
      </c>
      <c r="C12" s="54"/>
      <c r="D12" s="54"/>
      <c r="E12" s="54"/>
      <c r="F12" s="55"/>
      <c r="G12" s="56">
        <v>2</v>
      </c>
      <c r="H12" s="56">
        <v>1600</v>
      </c>
      <c r="I12" s="222">
        <v>15</v>
      </c>
      <c r="J12" s="223">
        <f t="shared" si="0"/>
        <v>24000</v>
      </c>
      <c r="L12" s="59"/>
    </row>
    <row r="13" spans="2:12" x14ac:dyDescent="0.2">
      <c r="B13" s="53" t="s">
        <v>206</v>
      </c>
      <c r="C13" s="54"/>
      <c r="D13" s="54"/>
      <c r="E13" s="54"/>
      <c r="F13" s="55"/>
      <c r="G13" s="56">
        <v>2</v>
      </c>
      <c r="H13" s="56">
        <v>1600</v>
      </c>
      <c r="I13" s="222">
        <v>15</v>
      </c>
      <c r="J13" s="223">
        <f t="shared" si="0"/>
        <v>24000</v>
      </c>
      <c r="L13" s="59"/>
    </row>
    <row r="14" spans="2:12" x14ac:dyDescent="0.2">
      <c r="B14" s="53" t="s">
        <v>207</v>
      </c>
      <c r="C14" s="54"/>
      <c r="D14" s="54"/>
      <c r="E14" s="54"/>
      <c r="F14" s="55"/>
      <c r="G14" s="56">
        <v>2</v>
      </c>
      <c r="H14" s="56">
        <v>1600</v>
      </c>
      <c r="I14" s="222">
        <v>12.5</v>
      </c>
      <c r="J14" s="223">
        <f t="shared" si="0"/>
        <v>20000</v>
      </c>
    </row>
    <row r="15" spans="2:12" x14ac:dyDescent="0.2">
      <c r="B15" s="53" t="s">
        <v>208</v>
      </c>
      <c r="C15" s="54"/>
      <c r="D15" s="54"/>
      <c r="E15" s="54"/>
      <c r="F15" s="55"/>
      <c r="G15" s="56">
        <v>2</v>
      </c>
      <c r="H15" s="56">
        <v>1600</v>
      </c>
      <c r="I15" s="222">
        <v>12.5</v>
      </c>
      <c r="J15" s="223">
        <f t="shared" si="0"/>
        <v>20000</v>
      </c>
    </row>
    <row r="16" spans="2:12" x14ac:dyDescent="0.2">
      <c r="B16" s="53" t="s">
        <v>209</v>
      </c>
      <c r="C16" s="54"/>
      <c r="D16" s="54"/>
      <c r="E16" s="54"/>
      <c r="F16" s="55"/>
      <c r="G16" s="56">
        <v>1</v>
      </c>
      <c r="H16" s="56">
        <v>300</v>
      </c>
      <c r="I16" s="222">
        <v>15</v>
      </c>
      <c r="J16" s="223">
        <f t="shared" si="0"/>
        <v>4500</v>
      </c>
    </row>
    <row r="17" spans="2:10" x14ac:dyDescent="0.2">
      <c r="B17" s="53" t="s">
        <v>210</v>
      </c>
      <c r="C17" s="54"/>
      <c r="D17" s="54"/>
      <c r="E17" s="54"/>
      <c r="F17" s="55"/>
      <c r="G17" s="56">
        <v>1</v>
      </c>
      <c r="H17" s="56">
        <v>300</v>
      </c>
      <c r="I17" s="222">
        <v>10</v>
      </c>
      <c r="J17" s="223">
        <f t="shared" si="0"/>
        <v>3000</v>
      </c>
    </row>
    <row r="18" spans="2:10" x14ac:dyDescent="0.2">
      <c r="B18" s="53" t="s">
        <v>211</v>
      </c>
      <c r="C18" s="54"/>
      <c r="D18" s="54"/>
      <c r="E18" s="54"/>
      <c r="F18" s="55"/>
      <c r="G18" s="56">
        <v>1</v>
      </c>
      <c r="H18" s="56">
        <v>300</v>
      </c>
      <c r="I18" s="222">
        <v>20</v>
      </c>
      <c r="J18" s="223">
        <f t="shared" si="0"/>
        <v>6000</v>
      </c>
    </row>
    <row r="19" spans="2:10" x14ac:dyDescent="0.2">
      <c r="B19" s="53" t="s">
        <v>212</v>
      </c>
      <c r="C19" s="54"/>
      <c r="D19" s="54"/>
      <c r="E19" s="54"/>
      <c r="F19" s="55"/>
      <c r="G19" s="56">
        <v>1</v>
      </c>
      <c r="H19" s="56">
        <v>100</v>
      </c>
      <c r="I19" s="222">
        <v>15</v>
      </c>
      <c r="J19" s="223">
        <f t="shared" si="0"/>
        <v>1500</v>
      </c>
    </row>
    <row r="20" spans="2:10" x14ac:dyDescent="0.2">
      <c r="B20" s="53" t="s">
        <v>213</v>
      </c>
      <c r="C20" s="54"/>
      <c r="D20" s="54"/>
      <c r="E20" s="54"/>
      <c r="F20" s="55"/>
      <c r="G20" s="56">
        <v>2</v>
      </c>
      <c r="H20" s="56">
        <v>100</v>
      </c>
      <c r="I20" s="222">
        <v>15</v>
      </c>
      <c r="J20" s="223">
        <f t="shared" si="0"/>
        <v>1500</v>
      </c>
    </row>
    <row r="21" spans="2:10" x14ac:dyDescent="0.2">
      <c r="B21" s="53" t="s">
        <v>255</v>
      </c>
      <c r="C21" s="54"/>
      <c r="D21" s="54"/>
      <c r="E21" s="54"/>
      <c r="F21" s="55"/>
      <c r="G21" s="56">
        <v>2</v>
      </c>
      <c r="H21" s="56">
        <v>300</v>
      </c>
      <c r="I21" s="57">
        <v>15</v>
      </c>
      <c r="J21" s="58">
        <f t="shared" ref="J21:J23" si="1">I21*H21</f>
        <v>4500</v>
      </c>
    </row>
    <row r="22" spans="2:10" x14ac:dyDescent="0.2">
      <c r="B22" s="53"/>
      <c r="C22" s="54"/>
      <c r="D22" s="54"/>
      <c r="E22" s="54"/>
      <c r="F22" s="55"/>
      <c r="G22" s="56"/>
      <c r="H22" s="56"/>
      <c r="I22" s="57">
        <v>0</v>
      </c>
      <c r="J22" s="58">
        <f t="shared" si="1"/>
        <v>0</v>
      </c>
    </row>
    <row r="23" spans="2:10" x14ac:dyDescent="0.2">
      <c r="B23" s="53"/>
      <c r="C23" s="54"/>
      <c r="D23" s="54"/>
      <c r="E23" s="54"/>
      <c r="F23" s="55"/>
      <c r="G23" s="56"/>
      <c r="H23" s="56"/>
      <c r="I23" s="57">
        <v>0</v>
      </c>
      <c r="J23" s="58">
        <f t="shared" si="1"/>
        <v>0</v>
      </c>
    </row>
    <row r="24" spans="2:10" x14ac:dyDescent="0.2">
      <c r="B24" s="388" t="s">
        <v>70</v>
      </c>
      <c r="C24" s="388"/>
      <c r="D24" s="388"/>
      <c r="E24" s="388"/>
      <c r="F24" s="388"/>
      <c r="G24" s="388"/>
      <c r="H24" s="60">
        <f>SUM(H8:H23)</f>
        <v>10350</v>
      </c>
      <c r="I24" s="61"/>
      <c r="J24" s="62"/>
    </row>
    <row r="25" spans="2:10" s="66" customFormat="1" ht="5.25" customHeight="1" x14ac:dyDescent="0.2">
      <c r="B25" s="63"/>
      <c r="C25" s="63"/>
      <c r="D25" s="63"/>
      <c r="E25" s="63"/>
      <c r="F25" s="63"/>
      <c r="G25" s="63"/>
      <c r="H25" s="64"/>
      <c r="I25" s="64"/>
      <c r="J25" s="65"/>
    </row>
    <row r="26" spans="2:10" x14ac:dyDescent="0.2">
      <c r="B26" s="389" t="s">
        <v>34</v>
      </c>
      <c r="C26" s="390"/>
      <c r="D26" s="390"/>
      <c r="E26" s="390"/>
      <c r="F26" s="390"/>
      <c r="G26" s="390"/>
      <c r="H26" s="390"/>
      <c r="I26" s="391"/>
      <c r="J26" s="67">
        <f>SUM(J8:J23)</f>
        <v>177250</v>
      </c>
    </row>
    <row r="27" spans="2:10" ht="5.25" customHeight="1" x14ac:dyDescent="0.2">
      <c r="B27" s="68"/>
      <c r="C27" s="68"/>
      <c r="D27" s="68"/>
      <c r="E27" s="68"/>
      <c r="F27" s="68"/>
      <c r="G27" s="68"/>
      <c r="H27" s="69"/>
      <c r="I27" s="69"/>
      <c r="J27" s="70"/>
    </row>
    <row r="28" spans="2:10" x14ac:dyDescent="0.2">
      <c r="B28" s="389" t="s">
        <v>35</v>
      </c>
      <c r="C28" s="390"/>
      <c r="D28" s="390"/>
      <c r="E28" s="390"/>
      <c r="F28" s="390"/>
      <c r="G28" s="390"/>
      <c r="H28" s="390"/>
      <c r="I28" s="391"/>
      <c r="J28" s="113">
        <f>PRODUCT(J26,0.24)</f>
        <v>42540</v>
      </c>
    </row>
    <row r="29" spans="2:10" s="66" customFormat="1" ht="5.25" customHeight="1" x14ac:dyDescent="0.2">
      <c r="B29" s="68"/>
      <c r="C29" s="68"/>
      <c r="D29" s="68"/>
      <c r="E29" s="68"/>
      <c r="F29" s="68"/>
      <c r="G29" s="68"/>
      <c r="H29" s="69"/>
      <c r="I29" s="69"/>
      <c r="J29" s="70"/>
    </row>
    <row r="30" spans="2:10" ht="23.25" x14ac:dyDescent="0.2">
      <c r="B30" s="389" t="s">
        <v>71</v>
      </c>
      <c r="C30" s="390"/>
      <c r="D30" s="390"/>
      <c r="E30" s="390"/>
      <c r="F30" s="390"/>
      <c r="G30" s="390"/>
      <c r="H30" s="390"/>
      <c r="I30" s="391"/>
      <c r="J30" s="71">
        <f>(J26+J28)/2.85</f>
        <v>77119.298245614031</v>
      </c>
    </row>
    <row r="31" spans="2:10" s="66" customFormat="1" ht="6.75" customHeight="1" x14ac:dyDescent="0.2">
      <c r="B31" s="72"/>
      <c r="C31" s="72"/>
      <c r="D31" s="72"/>
      <c r="E31" s="72"/>
      <c r="F31" s="72"/>
      <c r="G31" s="72"/>
      <c r="H31" s="73"/>
      <c r="I31" s="73"/>
      <c r="J31" s="118"/>
    </row>
    <row r="32" spans="2:10" x14ac:dyDescent="0.2">
      <c r="B32" s="406" t="s">
        <v>56</v>
      </c>
      <c r="C32" s="407"/>
      <c r="D32" s="407"/>
      <c r="E32" s="407"/>
      <c r="F32" s="407"/>
      <c r="G32" s="407"/>
      <c r="H32" s="407"/>
      <c r="I32" s="407"/>
      <c r="J32" s="408"/>
    </row>
    <row r="33" spans="2:12" ht="18.75" customHeight="1" x14ac:dyDescent="0.2">
      <c r="B33" s="42" t="s">
        <v>36</v>
      </c>
      <c r="C33" s="112"/>
      <c r="D33" s="112"/>
      <c r="E33" s="112"/>
      <c r="F33" s="43" t="s">
        <v>37</v>
      </c>
      <c r="G33" s="43" t="s">
        <v>38</v>
      </c>
      <c r="H33" s="43" t="s">
        <v>76</v>
      </c>
      <c r="I33" s="74" t="s">
        <v>75</v>
      </c>
      <c r="J33" s="74" t="s">
        <v>25</v>
      </c>
    </row>
    <row r="34" spans="2:12" ht="18.75" customHeight="1" x14ac:dyDescent="0.2">
      <c r="B34" s="224" t="s">
        <v>214</v>
      </c>
      <c r="C34" s="225"/>
      <c r="D34" s="225"/>
      <c r="E34" s="226"/>
      <c r="F34" s="227" t="s">
        <v>215</v>
      </c>
      <c r="G34" s="114"/>
      <c r="H34" s="222">
        <v>80</v>
      </c>
      <c r="I34" s="228">
        <v>100</v>
      </c>
      <c r="J34" s="222">
        <f t="shared" ref="J34:J41" si="2">+I34*H34</f>
        <v>8000</v>
      </c>
    </row>
    <row r="35" spans="2:12" ht="18.75" customHeight="1" x14ac:dyDescent="0.2">
      <c r="B35" s="229" t="s">
        <v>216</v>
      </c>
      <c r="C35" s="230"/>
      <c r="D35" s="230"/>
      <c r="E35" s="231"/>
      <c r="F35" s="227" t="s">
        <v>217</v>
      </c>
      <c r="G35" s="114"/>
      <c r="H35" s="222">
        <v>300</v>
      </c>
      <c r="I35" s="228">
        <v>3</v>
      </c>
      <c r="J35" s="222">
        <f t="shared" si="2"/>
        <v>900</v>
      </c>
    </row>
    <row r="36" spans="2:12" ht="18.75" customHeight="1" x14ac:dyDescent="0.2">
      <c r="B36" s="229" t="s">
        <v>218</v>
      </c>
      <c r="C36" s="230"/>
      <c r="D36" s="230"/>
      <c r="E36" s="231"/>
      <c r="F36" s="227" t="s">
        <v>219</v>
      </c>
      <c r="G36" s="232"/>
      <c r="H36" s="222">
        <v>400</v>
      </c>
      <c r="I36" s="228">
        <v>5</v>
      </c>
      <c r="J36" s="222">
        <f t="shared" si="2"/>
        <v>2000</v>
      </c>
    </row>
    <row r="37" spans="2:12" ht="18.75" customHeight="1" x14ac:dyDescent="0.2">
      <c r="B37" s="229" t="s">
        <v>220</v>
      </c>
      <c r="C37" s="230"/>
      <c r="D37" s="230"/>
      <c r="E37" s="231"/>
      <c r="F37" s="227" t="s">
        <v>221</v>
      </c>
      <c r="G37" s="232"/>
      <c r="H37" s="222">
        <v>600</v>
      </c>
      <c r="I37" s="228">
        <v>2</v>
      </c>
      <c r="J37" s="222">
        <f t="shared" si="2"/>
        <v>1200</v>
      </c>
    </row>
    <row r="38" spans="2:12" ht="18.75" customHeight="1" x14ac:dyDescent="0.2">
      <c r="B38" s="229" t="s">
        <v>222</v>
      </c>
      <c r="C38" s="230"/>
      <c r="D38" s="230"/>
      <c r="E38" s="231"/>
      <c r="F38" s="227" t="s">
        <v>223</v>
      </c>
      <c r="G38" s="232"/>
      <c r="H38" s="222">
        <v>250</v>
      </c>
      <c r="I38" s="228">
        <v>2</v>
      </c>
      <c r="J38" s="222">
        <f t="shared" si="2"/>
        <v>500</v>
      </c>
    </row>
    <row r="39" spans="2:12" ht="18.75" customHeight="1" x14ac:dyDescent="0.2">
      <c r="B39" s="229" t="s">
        <v>224</v>
      </c>
      <c r="C39" s="230"/>
      <c r="D39" s="230"/>
      <c r="E39" s="231"/>
      <c r="F39" s="227" t="s">
        <v>225</v>
      </c>
      <c r="G39" s="232"/>
      <c r="H39" s="222">
        <v>200</v>
      </c>
      <c r="I39" s="228">
        <v>0.5</v>
      </c>
      <c r="J39" s="222">
        <f t="shared" si="2"/>
        <v>100</v>
      </c>
    </row>
    <row r="40" spans="2:12" ht="18.75" customHeight="1" x14ac:dyDescent="0.2">
      <c r="B40" s="229" t="s">
        <v>226</v>
      </c>
      <c r="C40" s="230"/>
      <c r="D40" s="230"/>
      <c r="E40" s="231"/>
      <c r="F40" s="227" t="s">
        <v>227</v>
      </c>
      <c r="G40" s="232"/>
      <c r="H40" s="222">
        <v>200</v>
      </c>
      <c r="I40" s="228">
        <v>0.4</v>
      </c>
      <c r="J40" s="222">
        <f t="shared" si="2"/>
        <v>80</v>
      </c>
    </row>
    <row r="41" spans="2:12" x14ac:dyDescent="0.2">
      <c r="B41" s="229" t="s">
        <v>228</v>
      </c>
      <c r="C41" s="230"/>
      <c r="D41" s="230"/>
      <c r="E41" s="230"/>
      <c r="F41" s="232" t="s">
        <v>227</v>
      </c>
      <c r="G41" s="232"/>
      <c r="H41" s="222">
        <v>250</v>
      </c>
      <c r="I41" s="228">
        <v>0.4</v>
      </c>
      <c r="J41" s="222">
        <f t="shared" si="2"/>
        <v>100</v>
      </c>
    </row>
    <row r="42" spans="2:12" x14ac:dyDescent="0.2">
      <c r="B42" s="115"/>
      <c r="C42" s="116"/>
      <c r="D42" s="116"/>
      <c r="E42" s="116"/>
      <c r="F42" s="44"/>
      <c r="G42" s="44"/>
      <c r="H42" s="45"/>
      <c r="I42" s="57"/>
      <c r="J42" s="57"/>
    </row>
    <row r="43" spans="2:12" ht="23.25" x14ac:dyDescent="0.2">
      <c r="B43" s="389" t="s">
        <v>72</v>
      </c>
      <c r="C43" s="390"/>
      <c r="D43" s="390"/>
      <c r="E43" s="390"/>
      <c r="F43" s="390"/>
      <c r="G43" s="390"/>
      <c r="H43" s="391"/>
      <c r="I43" s="117">
        <f>SUM(I34:I42)</f>
        <v>113.30000000000001</v>
      </c>
      <c r="J43" s="71">
        <f>SUM(J34:J42)</f>
        <v>12880</v>
      </c>
    </row>
    <row r="44" spans="2:12" ht="8.25" customHeight="1" x14ac:dyDescent="0.2">
      <c r="B44" s="72"/>
      <c r="C44" s="72"/>
      <c r="D44" s="72"/>
      <c r="E44" s="72"/>
      <c r="F44" s="72"/>
      <c r="G44" s="72"/>
      <c r="H44" s="73"/>
      <c r="I44" s="75"/>
      <c r="J44" s="76"/>
    </row>
    <row r="45" spans="2:12" x14ac:dyDescent="0.2">
      <c r="B45" s="406" t="s">
        <v>46</v>
      </c>
      <c r="C45" s="407"/>
      <c r="D45" s="407"/>
      <c r="E45" s="407"/>
      <c r="F45" s="407"/>
      <c r="G45" s="407"/>
      <c r="H45" s="407"/>
      <c r="I45" s="407"/>
      <c r="J45" s="408"/>
    </row>
    <row r="46" spans="2:12" ht="18.75" customHeight="1" x14ac:dyDescent="0.2">
      <c r="B46" s="42" t="s">
        <v>41</v>
      </c>
      <c r="C46" s="43" t="s">
        <v>42</v>
      </c>
      <c r="D46" s="43" t="s">
        <v>39</v>
      </c>
      <c r="E46" s="43" t="s">
        <v>43</v>
      </c>
      <c r="F46" s="43" t="s">
        <v>44</v>
      </c>
      <c r="G46" s="409" t="s">
        <v>45</v>
      </c>
      <c r="H46" s="410"/>
      <c r="I46" s="410"/>
      <c r="J46" s="411"/>
    </row>
    <row r="47" spans="2:12" ht="18.75" customHeight="1" x14ac:dyDescent="0.25">
      <c r="B47" s="233" t="s">
        <v>229</v>
      </c>
      <c r="C47" s="232"/>
      <c r="D47" s="232">
        <v>80</v>
      </c>
      <c r="E47" s="234">
        <v>25</v>
      </c>
      <c r="F47" s="100">
        <f>+D47*E47</f>
        <v>2000</v>
      </c>
      <c r="G47" s="46"/>
      <c r="H47" s="47"/>
      <c r="I47" s="77"/>
      <c r="J47" s="78"/>
      <c r="L47" s="235"/>
    </row>
    <row r="48" spans="2:12" ht="18.75" customHeight="1" x14ac:dyDescent="0.25">
      <c r="B48" s="233" t="s">
        <v>230</v>
      </c>
      <c r="C48" s="232" t="s">
        <v>231</v>
      </c>
      <c r="D48" s="232">
        <v>0.5</v>
      </c>
      <c r="E48" s="234">
        <v>500</v>
      </c>
      <c r="F48" s="100">
        <f t="shared" ref="F48:F57" si="3">+D48*E48</f>
        <v>250</v>
      </c>
      <c r="G48" s="46"/>
      <c r="H48" s="47"/>
      <c r="I48" s="77"/>
      <c r="J48" s="78"/>
      <c r="L48" s="236"/>
    </row>
    <row r="49" spans="2:12" ht="18.75" customHeight="1" x14ac:dyDescent="0.25">
      <c r="B49" s="233" t="s">
        <v>258</v>
      </c>
      <c r="C49" s="232" t="s">
        <v>231</v>
      </c>
      <c r="D49" s="232">
        <v>6</v>
      </c>
      <c r="E49" s="234">
        <v>200</v>
      </c>
      <c r="F49" s="100">
        <f t="shared" si="3"/>
        <v>1200</v>
      </c>
      <c r="G49" s="239" t="s">
        <v>265</v>
      </c>
      <c r="H49" s="47"/>
      <c r="I49" s="77"/>
      <c r="J49" s="78"/>
      <c r="L49" s="236"/>
    </row>
    <row r="50" spans="2:12" ht="18.75" customHeight="1" x14ac:dyDescent="0.25">
      <c r="B50" s="233" t="s">
        <v>232</v>
      </c>
      <c r="C50" s="232" t="s">
        <v>231</v>
      </c>
      <c r="D50" s="232">
        <v>4</v>
      </c>
      <c r="E50" s="234">
        <v>68</v>
      </c>
      <c r="F50" s="100">
        <f t="shared" si="3"/>
        <v>272</v>
      </c>
      <c r="G50" s="239" t="s">
        <v>259</v>
      </c>
      <c r="H50" s="47"/>
      <c r="I50" s="77"/>
      <c r="J50" s="78"/>
      <c r="L50" s="236"/>
    </row>
    <row r="51" spans="2:12" ht="18.75" customHeight="1" x14ac:dyDescent="0.25">
      <c r="B51" s="233" t="s">
        <v>249</v>
      </c>
      <c r="C51" s="232" t="s">
        <v>231</v>
      </c>
      <c r="D51" s="232">
        <v>10</v>
      </c>
      <c r="E51" s="234">
        <v>255</v>
      </c>
      <c r="F51" s="100">
        <f t="shared" si="3"/>
        <v>2550</v>
      </c>
      <c r="G51" s="46"/>
      <c r="H51" s="47"/>
      <c r="I51" s="77"/>
      <c r="J51" s="78"/>
      <c r="L51" s="236"/>
    </row>
    <row r="52" spans="2:12" ht="18.75" customHeight="1" x14ac:dyDescent="0.25">
      <c r="B52" s="233" t="s">
        <v>250</v>
      </c>
      <c r="C52" s="232" t="s">
        <v>231</v>
      </c>
      <c r="D52" s="232">
        <v>0.2</v>
      </c>
      <c r="E52" s="234">
        <v>360</v>
      </c>
      <c r="F52" s="100">
        <f t="shared" si="3"/>
        <v>72</v>
      </c>
      <c r="G52" s="46"/>
      <c r="H52" s="47"/>
      <c r="I52" s="77"/>
      <c r="J52" s="78"/>
      <c r="L52" s="236"/>
    </row>
    <row r="53" spans="2:12" ht="18.75" customHeight="1" x14ac:dyDescent="0.25">
      <c r="B53" s="233" t="s">
        <v>251</v>
      </c>
      <c r="C53" s="232" t="s">
        <v>231</v>
      </c>
      <c r="D53" s="232">
        <v>4</v>
      </c>
      <c r="E53" s="234">
        <v>480</v>
      </c>
      <c r="F53" s="100">
        <f t="shared" si="3"/>
        <v>1920</v>
      </c>
      <c r="G53" s="46"/>
      <c r="H53" s="47"/>
      <c r="I53" s="77"/>
      <c r="J53" s="78"/>
      <c r="L53" s="236"/>
    </row>
    <row r="54" spans="2:12" ht="18.75" customHeight="1" x14ac:dyDescent="0.25">
      <c r="B54" s="233" t="s">
        <v>252</v>
      </c>
      <c r="C54" s="232" t="s">
        <v>231</v>
      </c>
      <c r="D54" s="232">
        <v>2</v>
      </c>
      <c r="E54" s="234">
        <v>520</v>
      </c>
      <c r="F54" s="100">
        <f t="shared" si="3"/>
        <v>1040</v>
      </c>
      <c r="G54" s="46"/>
      <c r="H54" s="47"/>
      <c r="I54" s="77"/>
      <c r="J54" s="78"/>
      <c r="L54" s="237"/>
    </row>
    <row r="55" spans="2:12" ht="18.75" customHeight="1" x14ac:dyDescent="0.25">
      <c r="B55" s="233" t="s">
        <v>253</v>
      </c>
      <c r="C55" s="232" t="s">
        <v>231</v>
      </c>
      <c r="D55" s="232">
        <v>3</v>
      </c>
      <c r="E55" s="234">
        <v>850</v>
      </c>
      <c r="F55" s="100">
        <f t="shared" si="3"/>
        <v>2550</v>
      </c>
      <c r="G55" s="46"/>
      <c r="H55" s="47"/>
      <c r="I55" s="77"/>
      <c r="J55" s="78"/>
      <c r="L55" s="236"/>
    </row>
    <row r="56" spans="2:12" ht="18.75" customHeight="1" x14ac:dyDescent="0.2">
      <c r="B56" s="233" t="s">
        <v>254</v>
      </c>
      <c r="C56" s="232" t="s">
        <v>231</v>
      </c>
      <c r="D56" s="232">
        <v>2</v>
      </c>
      <c r="E56" s="234">
        <v>1050</v>
      </c>
      <c r="F56" s="100">
        <f t="shared" si="3"/>
        <v>2100</v>
      </c>
      <c r="G56" s="46"/>
      <c r="H56" s="47"/>
      <c r="I56" s="77"/>
      <c r="J56" s="78"/>
    </row>
    <row r="57" spans="2:12" ht="18.75" customHeight="1" x14ac:dyDescent="0.2">
      <c r="B57" s="233" t="s">
        <v>262</v>
      </c>
      <c r="C57" s="232" t="s">
        <v>231</v>
      </c>
      <c r="D57" s="44">
        <v>4</v>
      </c>
      <c r="E57" s="234">
        <v>5</v>
      </c>
      <c r="F57" s="100">
        <f t="shared" si="3"/>
        <v>20</v>
      </c>
      <c r="G57" s="46"/>
      <c r="H57" s="47"/>
      <c r="I57" s="77"/>
      <c r="J57" s="78"/>
    </row>
    <row r="58" spans="2:12" ht="18.75" customHeight="1" x14ac:dyDescent="0.2">
      <c r="B58" s="233" t="s">
        <v>260</v>
      </c>
      <c r="C58" s="232" t="s">
        <v>231</v>
      </c>
      <c r="D58" s="44">
        <v>10</v>
      </c>
      <c r="E58" s="234">
        <v>30</v>
      </c>
      <c r="F58" s="100">
        <f t="shared" ref="F58:F61" si="4">+D58*E58</f>
        <v>300</v>
      </c>
      <c r="G58" s="46"/>
      <c r="H58" s="47"/>
      <c r="I58" s="77"/>
      <c r="J58" s="78"/>
    </row>
    <row r="59" spans="2:12" ht="18.75" customHeight="1" x14ac:dyDescent="0.2">
      <c r="B59" s="233" t="s">
        <v>257</v>
      </c>
      <c r="C59" s="232" t="s">
        <v>231</v>
      </c>
      <c r="D59" s="44">
        <v>12</v>
      </c>
      <c r="E59" s="234">
        <v>75</v>
      </c>
      <c r="F59" s="100">
        <f t="shared" si="4"/>
        <v>900</v>
      </c>
      <c r="G59" s="46"/>
      <c r="H59" s="47"/>
      <c r="I59" s="77"/>
      <c r="J59" s="78"/>
    </row>
    <row r="60" spans="2:12" ht="18.75" customHeight="1" x14ac:dyDescent="0.2">
      <c r="B60" s="233" t="s">
        <v>263</v>
      </c>
      <c r="C60" s="232" t="s">
        <v>231</v>
      </c>
      <c r="D60" s="44">
        <v>2</v>
      </c>
      <c r="E60" s="234">
        <v>115</v>
      </c>
      <c r="F60" s="100">
        <f t="shared" ref="F60" si="5">+D60*E60</f>
        <v>230</v>
      </c>
      <c r="G60" s="46"/>
      <c r="H60" s="47"/>
      <c r="I60" s="77"/>
      <c r="J60" s="78"/>
    </row>
    <row r="61" spans="2:12" ht="18.75" customHeight="1" x14ac:dyDescent="0.2">
      <c r="B61" s="233" t="s">
        <v>261</v>
      </c>
      <c r="C61" s="232" t="s">
        <v>231</v>
      </c>
      <c r="D61" s="44">
        <v>3</v>
      </c>
      <c r="E61" s="234">
        <v>190</v>
      </c>
      <c r="F61" s="100">
        <f t="shared" si="4"/>
        <v>570</v>
      </c>
      <c r="G61" s="46"/>
      <c r="H61" s="47"/>
      <c r="I61" s="77"/>
      <c r="J61" s="78"/>
    </row>
    <row r="62" spans="2:12" ht="18.75" customHeight="1" x14ac:dyDescent="0.2">
      <c r="B62" s="233" t="s">
        <v>233</v>
      </c>
      <c r="C62" s="232" t="s">
        <v>231</v>
      </c>
      <c r="D62" s="232">
        <v>4</v>
      </c>
      <c r="E62" s="234">
        <v>55</v>
      </c>
      <c r="F62" s="100">
        <f t="shared" ref="F62:F66" si="6">+D62*E62</f>
        <v>220</v>
      </c>
      <c r="G62" s="46"/>
      <c r="H62" s="47"/>
      <c r="I62" s="77"/>
      <c r="J62" s="78"/>
    </row>
    <row r="63" spans="2:12" ht="18.75" customHeight="1" x14ac:dyDescent="0.2">
      <c r="B63" s="233" t="s">
        <v>234</v>
      </c>
      <c r="C63" s="232" t="s">
        <v>231</v>
      </c>
      <c r="D63" s="232">
        <v>2</v>
      </c>
      <c r="E63" s="234">
        <v>44</v>
      </c>
      <c r="F63" s="100">
        <f t="shared" si="6"/>
        <v>88</v>
      </c>
      <c r="G63" s="46"/>
      <c r="H63" s="47"/>
      <c r="I63" s="77"/>
      <c r="J63" s="78"/>
    </row>
    <row r="64" spans="2:12" ht="18.75" customHeight="1" x14ac:dyDescent="0.2">
      <c r="B64" s="233" t="s">
        <v>235</v>
      </c>
      <c r="C64" s="232" t="s">
        <v>231</v>
      </c>
      <c r="D64" s="232">
        <v>2</v>
      </c>
      <c r="E64" s="234">
        <v>16</v>
      </c>
      <c r="F64" s="100">
        <f t="shared" si="6"/>
        <v>32</v>
      </c>
      <c r="G64" s="46"/>
      <c r="H64" s="47"/>
      <c r="I64" s="77"/>
      <c r="J64" s="78"/>
    </row>
    <row r="65" spans="2:12" ht="18.75" customHeight="1" x14ac:dyDescent="0.2">
      <c r="B65" s="233" t="s">
        <v>256</v>
      </c>
      <c r="C65" s="232" t="s">
        <v>236</v>
      </c>
      <c r="D65" s="232">
        <v>10</v>
      </c>
      <c r="E65" s="234">
        <v>55</v>
      </c>
      <c r="F65" s="100">
        <f t="shared" si="6"/>
        <v>550</v>
      </c>
      <c r="G65" s="46"/>
      <c r="H65" s="47"/>
      <c r="I65" s="77"/>
      <c r="J65" s="78"/>
    </row>
    <row r="66" spans="2:12" ht="18.75" customHeight="1" x14ac:dyDescent="0.2">
      <c r="B66" s="233" t="s">
        <v>237</v>
      </c>
      <c r="C66" s="232" t="s">
        <v>231</v>
      </c>
      <c r="D66" s="232">
        <v>10</v>
      </c>
      <c r="E66" s="234">
        <v>300</v>
      </c>
      <c r="F66" s="100">
        <f t="shared" si="6"/>
        <v>3000</v>
      </c>
      <c r="G66" s="46"/>
      <c r="H66" s="47"/>
      <c r="I66" s="77"/>
      <c r="J66" s="78"/>
    </row>
    <row r="67" spans="2:12" ht="23.25" x14ac:dyDescent="0.2">
      <c r="B67" s="389" t="s">
        <v>73</v>
      </c>
      <c r="C67" s="390"/>
      <c r="D67" s="390"/>
      <c r="E67" s="391"/>
      <c r="F67" s="79">
        <f>+SUM(F47:F66)</f>
        <v>19864</v>
      </c>
      <c r="G67" s="80"/>
      <c r="H67" s="81"/>
      <c r="I67" s="81"/>
    </row>
    <row r="68" spans="2:12" s="66" customFormat="1" ht="8.25" customHeight="1" x14ac:dyDescent="0.2">
      <c r="B68" s="72"/>
      <c r="C68" s="72"/>
      <c r="D68" s="72"/>
      <c r="E68" s="72"/>
      <c r="F68" s="72"/>
      <c r="G68" s="63"/>
      <c r="H68" s="64"/>
      <c r="I68" s="82"/>
      <c r="J68" s="76"/>
    </row>
    <row r="69" spans="2:12" ht="23.25" x14ac:dyDescent="0.2">
      <c r="B69" s="389" t="s">
        <v>74</v>
      </c>
      <c r="C69" s="390"/>
      <c r="D69" s="390"/>
      <c r="E69" s="390"/>
      <c r="F69" s="390"/>
      <c r="G69" s="390"/>
      <c r="H69" s="390"/>
      <c r="I69" s="391"/>
      <c r="J69" s="101">
        <v>1000</v>
      </c>
    </row>
    <row r="70" spans="2:12" s="66" customFormat="1" ht="8.25" customHeight="1" x14ac:dyDescent="0.2">
      <c r="B70" s="83"/>
      <c r="C70" s="83"/>
      <c r="D70" s="83"/>
      <c r="E70" s="83"/>
      <c r="F70" s="412"/>
      <c r="G70" s="412"/>
      <c r="H70" s="73"/>
      <c r="I70" s="73"/>
      <c r="J70" s="84"/>
    </row>
    <row r="71" spans="2:12" ht="23.25" x14ac:dyDescent="0.2">
      <c r="B71" s="389" t="s">
        <v>57</v>
      </c>
      <c r="C71" s="390"/>
      <c r="D71" s="390"/>
      <c r="E71" s="390"/>
      <c r="F71" s="390"/>
      <c r="G71" s="390"/>
      <c r="H71" s="390"/>
      <c r="I71" s="391"/>
      <c r="J71" s="71">
        <f>SUM(J69,F67,J43,J30)</f>
        <v>110863.29824561403</v>
      </c>
    </row>
    <row r="72" spans="2:12" s="66" customFormat="1" x14ac:dyDescent="0.2">
      <c r="B72" s="85"/>
      <c r="C72" s="85"/>
      <c r="D72" s="85"/>
      <c r="E72" s="85"/>
      <c r="F72" s="86"/>
      <c r="G72" s="86"/>
      <c r="H72" s="87"/>
      <c r="I72" s="87"/>
      <c r="J72" s="88"/>
    </row>
    <row r="73" spans="2:12" x14ac:dyDescent="0.2">
      <c r="B73" s="396" t="s">
        <v>52</v>
      </c>
      <c r="C73" s="396"/>
      <c r="D73" s="396"/>
      <c r="E73" s="396"/>
      <c r="F73" s="396"/>
      <c r="G73" s="396"/>
      <c r="H73" s="396"/>
      <c r="I73" s="396"/>
      <c r="J73" s="396"/>
    </row>
    <row r="74" spans="2:12" ht="15" customHeight="1" x14ac:dyDescent="0.2">
      <c r="B74" s="397" t="s">
        <v>55</v>
      </c>
      <c r="C74" s="398"/>
      <c r="D74" s="398"/>
      <c r="E74" s="398"/>
      <c r="F74" s="399"/>
      <c r="G74" s="41" t="s">
        <v>42</v>
      </c>
      <c r="H74" s="41" t="s">
        <v>53</v>
      </c>
      <c r="I74" s="41" t="s">
        <v>54</v>
      </c>
      <c r="J74" s="41" t="s">
        <v>25</v>
      </c>
    </row>
    <row r="75" spans="2:12" x14ac:dyDescent="0.2">
      <c r="B75" s="53" t="s">
        <v>238</v>
      </c>
      <c r="C75" s="54"/>
      <c r="D75" s="54"/>
      <c r="E75" s="54"/>
      <c r="F75" s="55"/>
      <c r="G75" s="56" t="s">
        <v>239</v>
      </c>
      <c r="H75" s="56">
        <v>15</v>
      </c>
      <c r="I75" s="222">
        <v>60</v>
      </c>
      <c r="J75" s="223">
        <f>I75*H75</f>
        <v>900</v>
      </c>
    </row>
    <row r="76" spans="2:12" ht="13.5" customHeight="1" x14ac:dyDescent="0.2">
      <c r="B76" s="53" t="s">
        <v>240</v>
      </c>
      <c r="C76" s="54"/>
      <c r="D76" s="54"/>
      <c r="E76" s="54"/>
      <c r="F76" s="55"/>
      <c r="G76" s="56" t="s">
        <v>239</v>
      </c>
      <c r="H76" s="56">
        <v>15</v>
      </c>
      <c r="I76" s="222">
        <v>50</v>
      </c>
      <c r="J76" s="223">
        <f t="shared" ref="J76:J83" si="7">I76*H76</f>
        <v>750</v>
      </c>
    </row>
    <row r="77" spans="2:12" ht="12.75" customHeight="1" x14ac:dyDescent="0.2">
      <c r="B77" s="53" t="s">
        <v>241</v>
      </c>
      <c r="C77" s="54"/>
      <c r="D77" s="54"/>
      <c r="E77" s="54"/>
      <c r="F77" s="55"/>
      <c r="G77" s="56" t="s">
        <v>242</v>
      </c>
      <c r="H77" s="56">
        <v>5</v>
      </c>
      <c r="I77" s="222">
        <v>110</v>
      </c>
      <c r="J77" s="223">
        <f t="shared" si="7"/>
        <v>550</v>
      </c>
      <c r="L77" s="59"/>
    </row>
    <row r="78" spans="2:12" x14ac:dyDescent="0.2">
      <c r="B78" s="53" t="s">
        <v>243</v>
      </c>
      <c r="C78" s="54"/>
      <c r="D78" s="54"/>
      <c r="E78" s="54"/>
      <c r="F78" s="55"/>
      <c r="G78" s="56" t="s">
        <v>242</v>
      </c>
      <c r="H78" s="56">
        <v>15</v>
      </c>
      <c r="I78" s="222">
        <v>150</v>
      </c>
      <c r="J78" s="223">
        <f t="shared" si="7"/>
        <v>2250</v>
      </c>
      <c r="L78" s="59"/>
    </row>
    <row r="79" spans="2:12" x14ac:dyDescent="0.2">
      <c r="B79" s="53" t="s">
        <v>244</v>
      </c>
      <c r="C79" s="54"/>
      <c r="D79" s="54"/>
      <c r="E79" s="54"/>
      <c r="F79" s="55"/>
      <c r="G79" s="56" t="s">
        <v>242</v>
      </c>
      <c r="H79" s="56">
        <v>40</v>
      </c>
      <c r="I79" s="222">
        <v>50</v>
      </c>
      <c r="J79" s="223">
        <f t="shared" si="7"/>
        <v>2000</v>
      </c>
    </row>
    <row r="80" spans="2:12" x14ac:dyDescent="0.2">
      <c r="B80" s="53" t="s">
        <v>245</v>
      </c>
      <c r="C80" s="54"/>
      <c r="D80" s="54"/>
      <c r="E80" s="54"/>
      <c r="F80" s="55"/>
      <c r="G80" s="56" t="s">
        <v>242</v>
      </c>
      <c r="H80" s="56">
        <v>60</v>
      </c>
      <c r="I80" s="222">
        <v>16</v>
      </c>
      <c r="J80" s="223">
        <f t="shared" si="7"/>
        <v>960</v>
      </c>
    </row>
    <row r="81" spans="2:10" x14ac:dyDescent="0.2">
      <c r="B81" s="53" t="s">
        <v>246</v>
      </c>
      <c r="C81" s="54"/>
      <c r="D81" s="54"/>
      <c r="E81" s="54"/>
      <c r="F81" s="55"/>
      <c r="G81" s="56" t="s">
        <v>242</v>
      </c>
      <c r="H81" s="56">
        <v>10</v>
      </c>
      <c r="I81" s="222">
        <v>4</v>
      </c>
      <c r="J81" s="223">
        <f t="shared" si="7"/>
        <v>40</v>
      </c>
    </row>
    <row r="82" spans="2:10" x14ac:dyDescent="0.2">
      <c r="B82" s="53" t="s">
        <v>247</v>
      </c>
      <c r="C82" s="54"/>
      <c r="D82" s="54"/>
      <c r="E82" s="54"/>
      <c r="F82" s="55"/>
      <c r="G82" s="56" t="s">
        <v>242</v>
      </c>
      <c r="H82" s="56">
        <v>2</v>
      </c>
      <c r="I82" s="222">
        <v>200</v>
      </c>
      <c r="J82" s="223">
        <f t="shared" si="7"/>
        <v>400</v>
      </c>
    </row>
    <row r="83" spans="2:10" x14ac:dyDescent="0.2">
      <c r="B83" s="53" t="s">
        <v>248</v>
      </c>
      <c r="C83" s="54"/>
      <c r="D83" s="54"/>
      <c r="E83" s="54"/>
      <c r="F83" s="55"/>
      <c r="G83" s="56" t="s">
        <v>242</v>
      </c>
      <c r="H83" s="56">
        <v>10</v>
      </c>
      <c r="I83" s="222">
        <v>10</v>
      </c>
      <c r="J83" s="223">
        <f t="shared" si="7"/>
        <v>100</v>
      </c>
    </row>
    <row r="84" spans="2:10" ht="23.25" x14ac:dyDescent="0.2">
      <c r="B84" s="403" t="s">
        <v>78</v>
      </c>
      <c r="C84" s="404"/>
      <c r="D84" s="404"/>
      <c r="E84" s="404"/>
      <c r="F84" s="404"/>
      <c r="G84" s="404"/>
      <c r="H84" s="404"/>
      <c r="I84" s="405"/>
      <c r="J84" s="71">
        <f>SUM(J75:J83)</f>
        <v>7950</v>
      </c>
    </row>
    <row r="85" spans="2:10" s="66" customFormat="1" x14ac:dyDescent="0.2">
      <c r="B85" s="85"/>
      <c r="C85" s="85"/>
      <c r="D85" s="85"/>
      <c r="E85" s="85"/>
      <c r="F85" s="86"/>
      <c r="G85" s="86"/>
      <c r="H85" s="87"/>
      <c r="I85" s="87"/>
      <c r="J85" s="88"/>
    </row>
    <row r="86" spans="2:10" ht="23.25" x14ac:dyDescent="0.2">
      <c r="B86" s="51"/>
      <c r="C86" s="51"/>
      <c r="D86" s="51"/>
      <c r="E86" s="51"/>
      <c r="F86" s="400" t="s">
        <v>26</v>
      </c>
      <c r="G86" s="401"/>
      <c r="H86" s="402"/>
      <c r="I86" s="89">
        <v>0.08</v>
      </c>
      <c r="J86" s="99">
        <f>J71*I86</f>
        <v>8869.0638596491226</v>
      </c>
    </row>
    <row r="87" spans="2:10" ht="23.25" x14ac:dyDescent="0.2">
      <c r="D87" s="90"/>
      <c r="F87" s="400" t="s">
        <v>47</v>
      </c>
      <c r="G87" s="401"/>
      <c r="H87" s="401"/>
      <c r="I87" s="402"/>
      <c r="J87" s="71">
        <f>SUM(J86,J71,J84)</f>
        <v>127682.36210526315</v>
      </c>
    </row>
    <row r="88" spans="2:10" s="66" customFormat="1" x14ac:dyDescent="0.2">
      <c r="B88" s="85"/>
      <c r="C88" s="85"/>
      <c r="D88" s="85"/>
      <c r="E88" s="85"/>
      <c r="F88" s="86"/>
      <c r="G88" s="86"/>
      <c r="H88" s="87"/>
      <c r="I88" s="87"/>
      <c r="J88" s="88"/>
    </row>
    <row r="89" spans="2:10" x14ac:dyDescent="0.2">
      <c r="B89" s="91" t="s">
        <v>48</v>
      </c>
      <c r="C89" s="81"/>
      <c r="D89" s="81"/>
      <c r="E89" s="81"/>
      <c r="F89" s="81"/>
      <c r="G89" s="81"/>
      <c r="H89" s="81"/>
      <c r="I89" s="81"/>
      <c r="J89" s="92"/>
    </row>
    <row r="90" spans="2:10" x14ac:dyDescent="0.2">
      <c r="B90" s="240" t="s">
        <v>264</v>
      </c>
      <c r="C90" s="59"/>
      <c r="D90" s="59"/>
      <c r="E90" s="59"/>
      <c r="F90" s="59"/>
      <c r="G90" s="59"/>
      <c r="H90" s="59"/>
      <c r="I90" s="59"/>
      <c r="J90" s="94"/>
    </row>
    <row r="91" spans="2:10" x14ac:dyDescent="0.2">
      <c r="B91" s="93"/>
      <c r="C91" s="59"/>
      <c r="D91" s="59"/>
      <c r="E91" s="59"/>
      <c r="F91" s="59"/>
      <c r="G91" s="59"/>
      <c r="H91" s="59"/>
      <c r="I91" s="59"/>
      <c r="J91" s="95"/>
    </row>
    <row r="92" spans="2:10" x14ac:dyDescent="0.2">
      <c r="B92" s="93"/>
      <c r="C92" s="59"/>
      <c r="D92" s="59"/>
      <c r="E92" s="59"/>
      <c r="F92" s="59"/>
      <c r="G92" s="59"/>
      <c r="H92" s="59"/>
      <c r="I92" s="59"/>
      <c r="J92" s="95"/>
    </row>
    <row r="93" spans="2:10" x14ac:dyDescent="0.2">
      <c r="B93" s="93"/>
      <c r="C93" s="59"/>
      <c r="D93" s="59"/>
      <c r="E93" s="59"/>
      <c r="F93" s="59"/>
      <c r="G93" s="59"/>
      <c r="H93" s="59"/>
      <c r="I93" s="59"/>
      <c r="J93" s="95"/>
    </row>
    <row r="94" spans="2:10" x14ac:dyDescent="0.2">
      <c r="B94" s="93"/>
      <c r="C94" s="59"/>
      <c r="D94" s="59"/>
      <c r="E94" s="59"/>
      <c r="F94" s="59"/>
      <c r="G94" s="59"/>
      <c r="H94" s="59"/>
      <c r="I94" s="59"/>
      <c r="J94" s="95"/>
    </row>
    <row r="95" spans="2:10" x14ac:dyDescent="0.2">
      <c r="B95" s="96"/>
      <c r="C95" s="97"/>
      <c r="D95" s="97"/>
      <c r="E95" s="97"/>
      <c r="F95" s="97"/>
      <c r="G95" s="97"/>
      <c r="H95" s="97"/>
      <c r="I95" s="97"/>
      <c r="J95" s="98"/>
    </row>
  </sheetData>
  <mergeCells count="21">
    <mergeCell ref="F86:H86"/>
    <mergeCell ref="F87:I87"/>
    <mergeCell ref="B84:I84"/>
    <mergeCell ref="B32:J32"/>
    <mergeCell ref="B67:E67"/>
    <mergeCell ref="B43:H43"/>
    <mergeCell ref="B45:J45"/>
    <mergeCell ref="G46:J46"/>
    <mergeCell ref="B69:I69"/>
    <mergeCell ref="B73:J73"/>
    <mergeCell ref="B74:F74"/>
    <mergeCell ref="F70:G70"/>
    <mergeCell ref="B71:I71"/>
    <mergeCell ref="B24:G24"/>
    <mergeCell ref="B26:I26"/>
    <mergeCell ref="B28:I28"/>
    <mergeCell ref="B30:I30"/>
    <mergeCell ref="H2:I2"/>
    <mergeCell ref="B4:J4"/>
    <mergeCell ref="B6:J6"/>
    <mergeCell ref="B7:F7"/>
  </mergeCells>
  <dataValidations disablePrompts="1" count="4">
    <dataValidation allowBlank="1" showInputMessage="1" showErrorMessage="1" prompt="Indicar Percentual (%)." sqref="I86" xr:uid="{00000000-0002-0000-0100-000000000000}"/>
    <dataValidation allowBlank="1" showInputMessage="1" showErrorMessage="1" promptTitle="BDI" prompt="BDI - Bonificação Despesas Indiretas / lançado antes dos impostos ou informar outro indicador." sqref="F86:H86" xr:uid="{00000000-0002-0000-0100-000001000000}"/>
    <dataValidation allowBlank="1" showInputMessage="1" showErrorMessage="1" prompt="Indicar racional de custo do investimento no preço mensal que será cobrado." sqref="F67" xr:uid="{00000000-0002-0000-0100-000002000000}"/>
    <dataValidation allowBlank="1" showInputMessage="1" promptTitle="SALÁRIO" prompt="Indicar qual será o salario pago ao profissional indicado." sqref="I7 I74" xr:uid="{00000000-0002-0000-0100-000003000000}"/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5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0:K43"/>
  <sheetViews>
    <sheetView showGridLines="0" workbookViewId="0">
      <selection activeCell="AA12" sqref="AA12:AD12"/>
    </sheetView>
  </sheetViews>
  <sheetFormatPr baseColWidth="10" defaultRowHeight="12.75" x14ac:dyDescent="0.2"/>
  <sheetData>
    <row r="20" spans="1:11" x14ac:dyDescent="0.2">
      <c r="C20" s="414" t="s">
        <v>126</v>
      </c>
      <c r="D20" s="414"/>
      <c r="E20" s="414"/>
      <c r="F20" s="414"/>
      <c r="G20" s="414"/>
      <c r="H20" s="414"/>
      <c r="I20" s="414"/>
      <c r="J20" s="414"/>
      <c r="K20" s="414"/>
    </row>
    <row r="25" spans="1:11" x14ac:dyDescent="0.2">
      <c r="A25" s="413"/>
      <c r="B25" s="413"/>
      <c r="C25" s="413"/>
      <c r="D25" s="413"/>
      <c r="E25" s="413"/>
      <c r="F25" s="413"/>
      <c r="G25" s="413"/>
    </row>
    <row r="43" spans="2:2" x14ac:dyDescent="0.2">
      <c r="B43" s="143" t="s">
        <v>94</v>
      </c>
    </row>
  </sheetData>
  <mergeCells count="2">
    <mergeCell ref="A25:G25"/>
    <mergeCell ref="C20:K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B1:Q51"/>
  <sheetViews>
    <sheetView showGridLines="0" zoomScale="90" zoomScaleNormal="90" zoomScaleSheetLayoutView="80" workbookViewId="0">
      <selection activeCell="AA12" sqref="AA12:AD12"/>
    </sheetView>
  </sheetViews>
  <sheetFormatPr baseColWidth="10" defaultRowHeight="12.75" x14ac:dyDescent="0.2"/>
  <cols>
    <col min="1" max="1" width="11.42578125" style="1"/>
    <col min="2" max="2" width="7.85546875" style="14" customWidth="1"/>
    <col min="3" max="3" width="116.5703125" style="14" customWidth="1"/>
    <col min="4" max="11" width="3.7109375" style="14" customWidth="1"/>
    <col min="12" max="15" width="3.7109375" style="1" customWidth="1"/>
    <col min="16" max="17" width="11.42578125" style="1" hidden="1" customWidth="1"/>
    <col min="18" max="16384" width="11.42578125" style="1"/>
  </cols>
  <sheetData>
    <row r="1" spans="2:17" ht="13.5" thickBot="1" x14ac:dyDescent="0.25"/>
    <row r="2" spans="2:17" s="191" customFormat="1" ht="17.100000000000001" customHeight="1" thickTop="1" thickBot="1" x14ac:dyDescent="0.25">
      <c r="B2" s="423" t="s">
        <v>0</v>
      </c>
      <c r="C2" s="194" t="s">
        <v>95</v>
      </c>
      <c r="D2" s="417" t="s">
        <v>10</v>
      </c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9"/>
    </row>
    <row r="3" spans="2:17" s="191" customFormat="1" ht="17.100000000000001" customHeight="1" thickTop="1" thickBot="1" x14ac:dyDescent="0.25">
      <c r="B3" s="424"/>
      <c r="C3" s="194" t="s">
        <v>8</v>
      </c>
      <c r="D3" s="420" t="s">
        <v>140</v>
      </c>
      <c r="E3" s="421"/>
      <c r="F3" s="421"/>
      <c r="G3" s="422"/>
      <c r="H3" s="420" t="s">
        <v>141</v>
      </c>
      <c r="I3" s="421"/>
      <c r="J3" s="421"/>
      <c r="K3" s="422"/>
      <c r="L3" s="420" t="s">
        <v>142</v>
      </c>
      <c r="M3" s="421"/>
      <c r="N3" s="421"/>
      <c r="O3" s="422"/>
      <c r="P3" s="1"/>
    </row>
    <row r="4" spans="2:17" s="191" customFormat="1" ht="17.100000000000001" customHeight="1" x14ac:dyDescent="0.2">
      <c r="B4" s="182">
        <v>1</v>
      </c>
      <c r="C4" s="183" t="s">
        <v>90</v>
      </c>
      <c r="D4" s="198"/>
      <c r="E4" s="199"/>
      <c r="F4" s="199"/>
      <c r="G4" s="200"/>
      <c r="H4" s="198"/>
      <c r="I4" s="199"/>
      <c r="J4" s="199"/>
      <c r="K4" s="200"/>
      <c r="L4" s="208"/>
      <c r="M4" s="209"/>
      <c r="N4" s="210"/>
      <c r="O4" s="260"/>
    </row>
    <row r="5" spans="2:17" s="191" customFormat="1" ht="17.100000000000001" customHeight="1" x14ac:dyDescent="0.2">
      <c r="B5" s="3">
        <v>1.1000000000000001</v>
      </c>
      <c r="C5" s="192" t="s">
        <v>91</v>
      </c>
      <c r="D5" s="201"/>
      <c r="E5" s="119"/>
      <c r="F5" s="245"/>
      <c r="G5" s="202"/>
      <c r="H5" s="201"/>
      <c r="I5" s="119"/>
      <c r="J5" s="119"/>
      <c r="K5" s="202"/>
      <c r="L5" s="211"/>
      <c r="M5" s="195"/>
      <c r="N5" s="196"/>
      <c r="O5" s="249"/>
      <c r="P5" s="335"/>
      <c r="Q5" s="335"/>
    </row>
    <row r="6" spans="2:17" s="191" customFormat="1" ht="17.100000000000001" customHeight="1" x14ac:dyDescent="0.2">
      <c r="B6" s="182">
        <v>2</v>
      </c>
      <c r="C6" s="183" t="s">
        <v>96</v>
      </c>
      <c r="D6" s="201"/>
      <c r="E6" s="119"/>
      <c r="F6" s="119"/>
      <c r="G6" s="202"/>
      <c r="H6" s="201"/>
      <c r="I6" s="119"/>
      <c r="J6" s="119"/>
      <c r="K6" s="202"/>
      <c r="L6" s="211"/>
      <c r="M6" s="195"/>
      <c r="N6" s="196"/>
      <c r="O6" s="249"/>
      <c r="P6" s="335"/>
      <c r="Q6" s="335"/>
    </row>
    <row r="7" spans="2:17" s="191" customFormat="1" ht="17.100000000000001" customHeight="1" x14ac:dyDescent="0.2">
      <c r="B7" s="3" t="s">
        <v>99</v>
      </c>
      <c r="C7" s="192" t="s">
        <v>143</v>
      </c>
      <c r="D7" s="203"/>
      <c r="E7" s="197"/>
      <c r="F7" s="247"/>
      <c r="G7" s="204"/>
      <c r="H7" s="203"/>
      <c r="I7" s="197"/>
      <c r="J7" s="197"/>
      <c r="K7" s="204"/>
      <c r="L7" s="211"/>
      <c r="M7" s="195"/>
      <c r="N7" s="196"/>
      <c r="O7" s="249"/>
      <c r="P7" s="335"/>
      <c r="Q7" s="335"/>
    </row>
    <row r="8" spans="2:17" s="191" customFormat="1" ht="17.100000000000001" customHeight="1" x14ac:dyDescent="0.2">
      <c r="B8" s="3" t="s">
        <v>100</v>
      </c>
      <c r="C8" s="192" t="s">
        <v>144</v>
      </c>
      <c r="D8" s="203"/>
      <c r="E8" s="197"/>
      <c r="F8" s="247"/>
      <c r="G8" s="204"/>
      <c r="H8" s="203"/>
      <c r="I8" s="197"/>
      <c r="J8" s="197"/>
      <c r="K8" s="204"/>
      <c r="L8" s="211"/>
      <c r="M8" s="195"/>
      <c r="N8" s="196"/>
      <c r="O8" s="249"/>
      <c r="P8" s="335"/>
      <c r="Q8" s="335"/>
    </row>
    <row r="9" spans="2:17" s="191" customFormat="1" ht="17.100000000000001" customHeight="1" x14ac:dyDescent="0.2">
      <c r="B9" s="3" t="s">
        <v>101</v>
      </c>
      <c r="C9" s="192" t="s">
        <v>98</v>
      </c>
      <c r="D9" s="203"/>
      <c r="E9" s="197"/>
      <c r="F9" s="247"/>
      <c r="G9" s="204"/>
      <c r="H9" s="203"/>
      <c r="I9" s="197"/>
      <c r="J9" s="197"/>
      <c r="K9" s="204"/>
      <c r="L9" s="211"/>
      <c r="M9" s="195"/>
      <c r="N9" s="196"/>
      <c r="O9" s="249"/>
      <c r="P9" s="335"/>
      <c r="Q9" s="335"/>
    </row>
    <row r="10" spans="2:17" s="191" customFormat="1" ht="17.100000000000001" customHeight="1" x14ac:dyDescent="0.2">
      <c r="B10" s="3" t="s">
        <v>102</v>
      </c>
      <c r="C10" s="192" t="s">
        <v>145</v>
      </c>
      <c r="D10" s="203"/>
      <c r="E10" s="197"/>
      <c r="F10" s="197"/>
      <c r="G10" s="248"/>
      <c r="H10" s="203"/>
      <c r="I10" s="197"/>
      <c r="J10" s="197"/>
      <c r="K10" s="204"/>
      <c r="L10" s="211"/>
      <c r="M10" s="195"/>
      <c r="N10" s="196"/>
      <c r="O10" s="249"/>
      <c r="P10" s="335"/>
      <c r="Q10" s="335"/>
    </row>
    <row r="11" spans="2:17" s="191" customFormat="1" ht="17.100000000000001" customHeight="1" x14ac:dyDescent="0.2">
      <c r="B11" s="3" t="s">
        <v>103</v>
      </c>
      <c r="C11" s="192" t="s">
        <v>146</v>
      </c>
      <c r="D11" s="203"/>
      <c r="E11" s="197"/>
      <c r="F11" s="197"/>
      <c r="G11" s="248"/>
      <c r="H11" s="203"/>
      <c r="I11" s="197"/>
      <c r="J11" s="197"/>
      <c r="K11" s="204"/>
      <c r="L11" s="211"/>
      <c r="M11" s="195"/>
      <c r="N11" s="196"/>
      <c r="O11" s="249"/>
      <c r="P11" s="335"/>
      <c r="Q11" s="335"/>
    </row>
    <row r="12" spans="2:17" s="191" customFormat="1" ht="15.75" customHeight="1" x14ac:dyDescent="0.2">
      <c r="B12" s="3" t="s">
        <v>104</v>
      </c>
      <c r="C12" s="192" t="s">
        <v>147</v>
      </c>
      <c r="D12" s="203"/>
      <c r="E12" s="197"/>
      <c r="F12" s="197"/>
      <c r="G12" s="248"/>
      <c r="H12" s="203"/>
      <c r="I12" s="197"/>
      <c r="J12" s="197"/>
      <c r="K12" s="204"/>
      <c r="L12" s="211"/>
      <c r="M12" s="195"/>
      <c r="N12" s="196"/>
      <c r="O12" s="249"/>
      <c r="P12" s="335"/>
      <c r="Q12" s="335"/>
    </row>
    <row r="13" spans="2:17" s="191" customFormat="1" ht="18.75" customHeight="1" x14ac:dyDescent="0.2">
      <c r="B13" s="3" t="s">
        <v>105</v>
      </c>
      <c r="C13" s="192" t="s">
        <v>148</v>
      </c>
      <c r="D13" s="203"/>
      <c r="E13" s="197"/>
      <c r="F13" s="197"/>
      <c r="G13" s="248"/>
      <c r="H13" s="203"/>
      <c r="I13" s="197"/>
      <c r="J13" s="197"/>
      <c r="K13" s="204"/>
      <c r="L13" s="211"/>
      <c r="M13" s="195"/>
      <c r="N13" s="196"/>
      <c r="O13" s="249"/>
      <c r="P13" s="335"/>
      <c r="Q13" s="335"/>
    </row>
    <row r="14" spans="2:17" s="191" customFormat="1" ht="17.100000000000001" customHeight="1" x14ac:dyDescent="0.2">
      <c r="B14" s="3" t="s">
        <v>106</v>
      </c>
      <c r="C14" s="192" t="s">
        <v>149</v>
      </c>
      <c r="D14" s="203"/>
      <c r="E14" s="197"/>
      <c r="F14" s="197"/>
      <c r="G14" s="248"/>
      <c r="H14" s="203"/>
      <c r="I14" s="197"/>
      <c r="J14" s="197"/>
      <c r="K14" s="204"/>
      <c r="L14" s="211"/>
      <c r="M14" s="195"/>
      <c r="N14" s="196"/>
      <c r="O14" s="249"/>
      <c r="P14" s="335"/>
      <c r="Q14" s="335"/>
    </row>
    <row r="15" spans="2:17" s="191" customFormat="1" ht="17.100000000000001" customHeight="1" x14ac:dyDescent="0.2">
      <c r="B15" s="3" t="s">
        <v>107</v>
      </c>
      <c r="C15" s="192" t="s">
        <v>150</v>
      </c>
      <c r="D15" s="203"/>
      <c r="E15" s="197"/>
      <c r="F15" s="197"/>
      <c r="G15" s="248"/>
      <c r="H15" s="203"/>
      <c r="I15" s="197"/>
      <c r="J15" s="197"/>
      <c r="K15" s="204"/>
      <c r="L15" s="211"/>
      <c r="M15" s="195"/>
      <c r="N15" s="196"/>
      <c r="O15" s="249"/>
      <c r="P15" s="335"/>
      <c r="Q15" s="335"/>
    </row>
    <row r="16" spans="2:17" s="191" customFormat="1" ht="17.100000000000001" customHeight="1" x14ac:dyDescent="0.2">
      <c r="B16" s="3" t="s">
        <v>108</v>
      </c>
      <c r="C16" s="192" t="s">
        <v>97</v>
      </c>
      <c r="D16" s="203"/>
      <c r="E16" s="197"/>
      <c r="F16" s="197"/>
      <c r="G16" s="248"/>
      <c r="H16" s="203"/>
      <c r="I16" s="197"/>
      <c r="J16" s="197"/>
      <c r="K16" s="204"/>
      <c r="L16" s="211"/>
      <c r="M16" s="195"/>
      <c r="N16" s="196"/>
      <c r="O16" s="249"/>
      <c r="P16" s="335"/>
      <c r="Q16" s="335"/>
    </row>
    <row r="17" spans="2:17" s="191" customFormat="1" ht="17.100000000000001" customHeight="1" x14ac:dyDescent="0.2">
      <c r="B17" s="3" t="s">
        <v>110</v>
      </c>
      <c r="C17" s="192" t="s">
        <v>109</v>
      </c>
      <c r="D17" s="203"/>
      <c r="E17" s="197"/>
      <c r="F17" s="197"/>
      <c r="G17" s="248"/>
      <c r="H17" s="203"/>
      <c r="I17" s="197"/>
      <c r="J17" s="197"/>
      <c r="K17" s="204"/>
      <c r="L17" s="211"/>
      <c r="M17" s="195"/>
      <c r="N17" s="196"/>
      <c r="O17" s="249"/>
      <c r="P17" s="335"/>
      <c r="Q17" s="335"/>
    </row>
    <row r="18" spans="2:17" s="191" customFormat="1" ht="17.100000000000001" customHeight="1" x14ac:dyDescent="0.2">
      <c r="B18" s="3" t="s">
        <v>111</v>
      </c>
      <c r="C18" s="192" t="s">
        <v>139</v>
      </c>
      <c r="D18" s="203"/>
      <c r="E18" s="197"/>
      <c r="F18" s="197"/>
      <c r="G18" s="204"/>
      <c r="H18" s="246"/>
      <c r="I18" s="197"/>
      <c r="J18" s="197"/>
      <c r="K18" s="204"/>
      <c r="L18" s="211"/>
      <c r="M18" s="195"/>
      <c r="N18" s="196"/>
      <c r="O18" s="249"/>
      <c r="P18" s="335"/>
      <c r="Q18" s="335"/>
    </row>
    <row r="19" spans="2:17" s="191" customFormat="1" ht="17.100000000000001" customHeight="1" x14ac:dyDescent="0.2">
      <c r="B19" s="3" t="s">
        <v>113</v>
      </c>
      <c r="C19" s="192" t="s">
        <v>151</v>
      </c>
      <c r="D19" s="203"/>
      <c r="E19" s="197"/>
      <c r="F19" s="197"/>
      <c r="G19" s="204"/>
      <c r="H19" s="246"/>
      <c r="I19" s="197"/>
      <c r="J19" s="197"/>
      <c r="K19" s="204"/>
      <c r="L19" s="211"/>
      <c r="M19" s="195"/>
      <c r="N19" s="196"/>
      <c r="O19" s="249"/>
      <c r="P19" s="335"/>
      <c r="Q19" s="335"/>
    </row>
    <row r="20" spans="2:17" s="191" customFormat="1" ht="17.100000000000001" customHeight="1" x14ac:dyDescent="0.2">
      <c r="B20" s="3" t="s">
        <v>114</v>
      </c>
      <c r="C20" s="192" t="s">
        <v>112</v>
      </c>
      <c r="D20" s="203"/>
      <c r="E20" s="197"/>
      <c r="F20" s="197"/>
      <c r="G20" s="204"/>
      <c r="H20" s="246"/>
      <c r="I20" s="197"/>
      <c r="J20" s="197"/>
      <c r="K20" s="204"/>
      <c r="L20" s="211"/>
      <c r="M20" s="195"/>
      <c r="N20" s="196"/>
      <c r="O20" s="249"/>
      <c r="P20" s="335"/>
      <c r="Q20" s="335"/>
    </row>
    <row r="21" spans="2:17" s="191" customFormat="1" ht="17.100000000000001" customHeight="1" x14ac:dyDescent="0.2">
      <c r="B21" s="3" t="s">
        <v>115</v>
      </c>
      <c r="C21" s="192" t="s">
        <v>152</v>
      </c>
      <c r="D21" s="203"/>
      <c r="E21" s="197"/>
      <c r="F21" s="197"/>
      <c r="G21" s="204"/>
      <c r="H21" s="246"/>
      <c r="I21" s="197"/>
      <c r="J21" s="197"/>
      <c r="K21" s="204"/>
      <c r="L21" s="211"/>
      <c r="M21" s="195"/>
      <c r="N21" s="196"/>
      <c r="O21" s="249"/>
      <c r="P21" s="335"/>
      <c r="Q21" s="335"/>
    </row>
    <row r="22" spans="2:17" s="191" customFormat="1" ht="17.100000000000001" customHeight="1" x14ac:dyDescent="0.2">
      <c r="B22" s="186">
        <v>3</v>
      </c>
      <c r="C22" s="193" t="s">
        <v>116</v>
      </c>
      <c r="D22" s="203"/>
      <c r="E22" s="197"/>
      <c r="F22" s="197"/>
      <c r="G22" s="204"/>
      <c r="H22" s="203"/>
      <c r="I22" s="197"/>
      <c r="J22" s="197"/>
      <c r="K22" s="204"/>
      <c r="L22" s="211"/>
      <c r="M22" s="195"/>
      <c r="N22" s="196"/>
      <c r="O22" s="249"/>
      <c r="P22" s="335"/>
      <c r="Q22" s="335"/>
    </row>
    <row r="23" spans="2:17" s="191" customFormat="1" ht="17.100000000000001" customHeight="1" x14ac:dyDescent="0.2">
      <c r="B23" s="3" t="s">
        <v>117</v>
      </c>
      <c r="C23" s="192" t="s">
        <v>153</v>
      </c>
      <c r="D23" s="203"/>
      <c r="E23" s="197"/>
      <c r="F23" s="197"/>
      <c r="G23" s="253"/>
      <c r="H23" s="254"/>
      <c r="I23" s="247"/>
      <c r="J23" s="251"/>
      <c r="K23" s="253"/>
      <c r="L23" s="255"/>
      <c r="M23" s="256"/>
      <c r="N23" s="257"/>
      <c r="O23" s="261"/>
      <c r="P23" s="416"/>
      <c r="Q23" s="416"/>
    </row>
    <row r="24" spans="2:17" s="191" customFormat="1" ht="17.100000000000001" customHeight="1" x14ac:dyDescent="0.2">
      <c r="B24" s="3" t="s">
        <v>118</v>
      </c>
      <c r="C24" s="192" t="s">
        <v>154</v>
      </c>
      <c r="D24" s="203"/>
      <c r="E24" s="197"/>
      <c r="F24" s="197"/>
      <c r="G24" s="248"/>
      <c r="H24" s="246"/>
      <c r="I24" s="251"/>
      <c r="J24" s="251"/>
      <c r="K24" s="253"/>
      <c r="L24" s="255"/>
      <c r="M24" s="256"/>
      <c r="N24" s="257"/>
      <c r="O24" s="261"/>
      <c r="P24" s="415"/>
      <c r="Q24" s="415"/>
    </row>
    <row r="25" spans="2:17" s="191" customFormat="1" ht="17.100000000000001" customHeight="1" x14ac:dyDescent="0.2">
      <c r="B25" s="3" t="s">
        <v>119</v>
      </c>
      <c r="C25" s="192" t="s">
        <v>155</v>
      </c>
      <c r="D25" s="203"/>
      <c r="E25" s="197"/>
      <c r="F25" s="197"/>
      <c r="G25" s="253"/>
      <c r="H25" s="254"/>
      <c r="I25" s="251"/>
      <c r="J25" s="251"/>
      <c r="K25" s="253"/>
      <c r="L25" s="255"/>
      <c r="M25" s="258"/>
      <c r="N25" s="257"/>
      <c r="O25" s="261"/>
      <c r="P25" s="415"/>
      <c r="Q25" s="415"/>
    </row>
    <row r="26" spans="2:17" s="191" customFormat="1" ht="17.100000000000001" customHeight="1" x14ac:dyDescent="0.2">
      <c r="B26" s="3" t="s">
        <v>120</v>
      </c>
      <c r="C26" s="192" t="s">
        <v>156</v>
      </c>
      <c r="D26" s="203"/>
      <c r="E26" s="197"/>
      <c r="F26" s="197"/>
      <c r="G26" s="253"/>
      <c r="H26" s="254"/>
      <c r="I26" s="251"/>
      <c r="J26" s="251"/>
      <c r="K26" s="253"/>
      <c r="L26" s="255"/>
      <c r="M26" s="258"/>
      <c r="N26" s="259"/>
      <c r="O26" s="261"/>
      <c r="P26" s="415"/>
      <c r="Q26" s="415"/>
    </row>
    <row r="27" spans="2:17" s="191" customFormat="1" ht="17.100000000000001" customHeight="1" x14ac:dyDescent="0.2">
      <c r="B27" s="3" t="s">
        <v>121</v>
      </c>
      <c r="C27" s="192" t="s">
        <v>157</v>
      </c>
      <c r="D27" s="203"/>
      <c r="E27" s="197"/>
      <c r="F27" s="197"/>
      <c r="G27" s="253"/>
      <c r="H27" s="254"/>
      <c r="I27" s="251"/>
      <c r="J27" s="251"/>
      <c r="K27" s="253"/>
      <c r="L27" s="255"/>
      <c r="M27" s="258"/>
      <c r="N27" s="259"/>
      <c r="O27" s="261"/>
      <c r="P27" s="415"/>
      <c r="Q27" s="415"/>
    </row>
    <row r="28" spans="2:17" s="191" customFormat="1" ht="17.100000000000001" customHeight="1" x14ac:dyDescent="0.2">
      <c r="B28" s="3" t="s">
        <v>122</v>
      </c>
      <c r="C28" s="192" t="s">
        <v>158</v>
      </c>
      <c r="D28" s="203"/>
      <c r="E28" s="197"/>
      <c r="F28" s="197"/>
      <c r="G28" s="253"/>
      <c r="H28" s="254"/>
      <c r="I28" s="251"/>
      <c r="J28" s="251"/>
      <c r="K28" s="253"/>
      <c r="L28" s="255"/>
      <c r="M28" s="256"/>
      <c r="N28" s="259"/>
      <c r="O28" s="262"/>
      <c r="P28" s="416"/>
      <c r="Q28" s="416"/>
    </row>
    <row r="29" spans="2:17" s="191" customFormat="1" ht="17.100000000000001" customHeight="1" x14ac:dyDescent="0.2">
      <c r="B29" s="186">
        <v>4</v>
      </c>
      <c r="C29" s="193" t="s">
        <v>124</v>
      </c>
      <c r="D29" s="203"/>
      <c r="E29" s="197"/>
      <c r="F29" s="197"/>
      <c r="G29" s="253"/>
      <c r="H29" s="254"/>
      <c r="I29" s="251"/>
      <c r="J29" s="251"/>
      <c r="K29" s="253"/>
      <c r="L29" s="255"/>
      <c r="M29" s="256"/>
      <c r="N29" s="257"/>
      <c r="O29" s="261"/>
      <c r="P29" s="416"/>
      <c r="Q29" s="416"/>
    </row>
    <row r="30" spans="2:17" s="191" customFormat="1" ht="17.100000000000001" customHeight="1" x14ac:dyDescent="0.2">
      <c r="B30" s="3" t="s">
        <v>127</v>
      </c>
      <c r="C30" s="192" t="s">
        <v>123</v>
      </c>
      <c r="D30" s="203"/>
      <c r="E30" s="197"/>
      <c r="F30" s="197"/>
      <c r="G30" s="253"/>
      <c r="H30" s="254"/>
      <c r="I30" s="251"/>
      <c r="J30" s="251"/>
      <c r="K30" s="253"/>
      <c r="L30" s="252"/>
      <c r="M30" s="256"/>
      <c r="N30" s="257"/>
      <c r="O30" s="261"/>
      <c r="P30" s="416"/>
      <c r="Q30" s="416"/>
    </row>
    <row r="31" spans="2:17" s="191" customFormat="1" ht="17.100000000000001" customHeight="1" x14ac:dyDescent="0.2">
      <c r="B31" s="3" t="s">
        <v>128</v>
      </c>
      <c r="C31" s="192" t="s">
        <v>159</v>
      </c>
      <c r="D31" s="203"/>
      <c r="E31" s="197"/>
      <c r="F31" s="197"/>
      <c r="G31" s="253"/>
      <c r="H31" s="254"/>
      <c r="I31" s="251"/>
      <c r="J31" s="251"/>
      <c r="K31" s="253"/>
      <c r="L31" s="252"/>
      <c r="M31" s="256"/>
      <c r="N31" s="257"/>
      <c r="O31" s="261"/>
      <c r="P31" s="416"/>
      <c r="Q31" s="416"/>
    </row>
    <row r="32" spans="2:17" s="191" customFormat="1" ht="17.100000000000001" customHeight="1" x14ac:dyDescent="0.2">
      <c r="B32" s="3" t="s">
        <v>129</v>
      </c>
      <c r="C32" s="192" t="s">
        <v>160</v>
      </c>
      <c r="D32" s="203"/>
      <c r="E32" s="197"/>
      <c r="F32" s="197"/>
      <c r="G32" s="253"/>
      <c r="H32" s="254"/>
      <c r="I32" s="251"/>
      <c r="J32" s="251"/>
      <c r="K32" s="253"/>
      <c r="L32" s="252"/>
      <c r="M32" s="258"/>
      <c r="N32" s="257"/>
      <c r="O32" s="261"/>
      <c r="P32" s="416"/>
      <c r="Q32" s="416"/>
    </row>
    <row r="33" spans="2:17" s="191" customFormat="1" ht="17.100000000000001" customHeight="1" x14ac:dyDescent="0.2">
      <c r="B33" s="3" t="s">
        <v>130</v>
      </c>
      <c r="C33" s="192" t="s">
        <v>161</v>
      </c>
      <c r="D33" s="203"/>
      <c r="E33" s="197"/>
      <c r="F33" s="197"/>
      <c r="G33" s="253"/>
      <c r="H33" s="254"/>
      <c r="I33" s="251"/>
      <c r="J33" s="251"/>
      <c r="K33" s="253"/>
      <c r="L33" s="252"/>
      <c r="M33" s="258"/>
      <c r="N33" s="257"/>
      <c r="O33" s="261"/>
      <c r="P33" s="416"/>
      <c r="Q33" s="416"/>
    </row>
    <row r="34" spans="2:17" s="191" customFormat="1" ht="17.100000000000001" customHeight="1" x14ac:dyDescent="0.2">
      <c r="B34" s="3" t="s">
        <v>131</v>
      </c>
      <c r="C34" s="192" t="s">
        <v>162</v>
      </c>
      <c r="D34" s="203"/>
      <c r="E34" s="197"/>
      <c r="F34" s="197"/>
      <c r="G34" s="253"/>
      <c r="H34" s="254"/>
      <c r="I34" s="251"/>
      <c r="J34" s="251"/>
      <c r="K34" s="253"/>
      <c r="L34" s="255"/>
      <c r="M34" s="258"/>
      <c r="N34" s="259"/>
      <c r="O34" s="261"/>
      <c r="P34" s="416"/>
      <c r="Q34" s="416"/>
    </row>
    <row r="35" spans="2:17" s="191" customFormat="1" ht="17.100000000000001" customHeight="1" x14ac:dyDescent="0.2">
      <c r="B35" s="3" t="s">
        <v>132</v>
      </c>
      <c r="C35" s="192" t="s">
        <v>163</v>
      </c>
      <c r="D35" s="203"/>
      <c r="E35" s="197"/>
      <c r="F35" s="197"/>
      <c r="G35" s="253"/>
      <c r="H35" s="254"/>
      <c r="I35" s="251"/>
      <c r="J35" s="251"/>
      <c r="K35" s="253"/>
      <c r="L35" s="255"/>
      <c r="M35" s="258"/>
      <c r="N35" s="259"/>
      <c r="O35" s="262"/>
      <c r="P35" s="416"/>
      <c r="Q35" s="416"/>
    </row>
    <row r="36" spans="2:17" s="191" customFormat="1" ht="17.100000000000001" customHeight="1" x14ac:dyDescent="0.2">
      <c r="B36" s="3" t="s">
        <v>133</v>
      </c>
      <c r="C36" s="192" t="s">
        <v>164</v>
      </c>
      <c r="D36" s="203"/>
      <c r="E36" s="197"/>
      <c r="F36" s="197"/>
      <c r="G36" s="204"/>
      <c r="H36" s="203"/>
      <c r="I36" s="197"/>
      <c r="J36" s="197"/>
      <c r="K36" s="204"/>
      <c r="L36" s="211"/>
      <c r="M36" s="195"/>
      <c r="N36" s="259"/>
      <c r="O36" s="262"/>
      <c r="P36" s="416"/>
      <c r="Q36" s="416"/>
    </row>
    <row r="37" spans="2:17" s="191" customFormat="1" ht="17.100000000000001" customHeight="1" x14ac:dyDescent="0.2">
      <c r="B37" s="3" t="s">
        <v>134</v>
      </c>
      <c r="C37" s="192" t="s">
        <v>165</v>
      </c>
      <c r="D37" s="203"/>
      <c r="E37" s="197"/>
      <c r="F37" s="197"/>
      <c r="G37" s="204"/>
      <c r="H37" s="203"/>
      <c r="I37" s="197"/>
      <c r="J37" s="197"/>
      <c r="K37" s="204"/>
      <c r="L37" s="211"/>
      <c r="M37" s="195"/>
      <c r="N37" s="259"/>
      <c r="O37" s="262"/>
      <c r="P37" s="416"/>
      <c r="Q37" s="416"/>
    </row>
    <row r="38" spans="2:17" s="191" customFormat="1" ht="17.100000000000001" customHeight="1" x14ac:dyDescent="0.2">
      <c r="B38" s="186">
        <v>5</v>
      </c>
      <c r="C38" s="193" t="s">
        <v>125</v>
      </c>
      <c r="D38" s="203"/>
      <c r="E38" s="197"/>
      <c r="F38" s="197"/>
      <c r="G38" s="204"/>
      <c r="H38" s="203"/>
      <c r="I38" s="197"/>
      <c r="J38" s="197"/>
      <c r="K38" s="204"/>
      <c r="L38" s="211"/>
      <c r="M38" s="195"/>
      <c r="N38" s="196"/>
      <c r="O38" s="249"/>
      <c r="P38" s="416"/>
      <c r="Q38" s="416"/>
    </row>
    <row r="39" spans="2:17" s="191" customFormat="1" ht="17.100000000000001" customHeight="1" x14ac:dyDescent="0.2">
      <c r="B39" s="3" t="s">
        <v>135</v>
      </c>
      <c r="C39" s="192" t="s">
        <v>166</v>
      </c>
      <c r="D39" s="203"/>
      <c r="E39" s="197"/>
      <c r="F39" s="197"/>
      <c r="G39" s="204"/>
      <c r="H39" s="203"/>
      <c r="I39" s="197"/>
      <c r="J39" s="197"/>
      <c r="K39" s="204"/>
      <c r="L39" s="211"/>
      <c r="M39" s="195"/>
      <c r="N39" s="196"/>
      <c r="O39" s="262"/>
      <c r="P39" s="416"/>
      <c r="Q39" s="416"/>
    </row>
    <row r="40" spans="2:17" s="191" customFormat="1" ht="17.100000000000001" customHeight="1" x14ac:dyDescent="0.2">
      <c r="B40" s="3" t="s">
        <v>136</v>
      </c>
      <c r="C40" s="192" t="s">
        <v>167</v>
      </c>
      <c r="D40" s="203"/>
      <c r="E40" s="197"/>
      <c r="F40" s="197"/>
      <c r="G40" s="204"/>
      <c r="H40" s="203"/>
      <c r="I40" s="197"/>
      <c r="J40" s="197"/>
      <c r="K40" s="204"/>
      <c r="L40" s="211"/>
      <c r="M40" s="195"/>
      <c r="N40" s="259"/>
      <c r="O40" s="249"/>
      <c r="P40" s="416"/>
      <c r="Q40" s="416"/>
    </row>
    <row r="41" spans="2:17" s="191" customFormat="1" ht="17.100000000000001" customHeight="1" x14ac:dyDescent="0.2">
      <c r="B41" s="3" t="s">
        <v>137</v>
      </c>
      <c r="C41" s="192" t="s">
        <v>168</v>
      </c>
      <c r="D41" s="203"/>
      <c r="E41" s="197"/>
      <c r="F41" s="197"/>
      <c r="G41" s="204"/>
      <c r="H41" s="203"/>
      <c r="I41" s="197"/>
      <c r="J41" s="197"/>
      <c r="K41" s="204"/>
      <c r="L41" s="211"/>
      <c r="M41" s="195"/>
      <c r="N41" s="196"/>
      <c r="O41" s="263"/>
      <c r="P41" s="242"/>
      <c r="Q41" s="242"/>
    </row>
    <row r="42" spans="2:17" s="191" customFormat="1" ht="17.100000000000001" customHeight="1" x14ac:dyDescent="0.2">
      <c r="B42" s="3" t="s">
        <v>138</v>
      </c>
      <c r="C42" s="192" t="s">
        <v>169</v>
      </c>
      <c r="D42" s="203"/>
      <c r="E42" s="197"/>
      <c r="F42" s="197"/>
      <c r="G42" s="204"/>
      <c r="H42" s="203"/>
      <c r="I42" s="197"/>
      <c r="J42" s="197"/>
      <c r="K42" s="204"/>
      <c r="L42" s="211"/>
      <c r="M42" s="195"/>
      <c r="N42" s="196"/>
      <c r="O42" s="262"/>
      <c r="P42" s="416"/>
      <c r="Q42" s="416"/>
    </row>
    <row r="43" spans="2:17" s="191" customFormat="1" ht="17.100000000000001" customHeight="1" x14ac:dyDescent="0.2">
      <c r="B43" s="186">
        <v>6</v>
      </c>
      <c r="C43" s="193" t="s">
        <v>92</v>
      </c>
      <c r="D43" s="203"/>
      <c r="E43" s="197"/>
      <c r="F43" s="197"/>
      <c r="G43" s="204"/>
      <c r="H43" s="203"/>
      <c r="I43" s="197"/>
      <c r="J43" s="197"/>
      <c r="K43" s="204"/>
      <c r="L43" s="211"/>
      <c r="M43" s="195"/>
      <c r="N43" s="195"/>
      <c r="O43" s="250"/>
      <c r="P43" s="242"/>
      <c r="Q43" s="242"/>
    </row>
    <row r="44" spans="2:17" s="191" customFormat="1" ht="17.100000000000001" customHeight="1" x14ac:dyDescent="0.2">
      <c r="B44" s="181">
        <v>6.1</v>
      </c>
      <c r="C44" s="192" t="s">
        <v>93</v>
      </c>
      <c r="D44" s="203"/>
      <c r="E44" s="197"/>
      <c r="F44" s="197"/>
      <c r="G44" s="204"/>
      <c r="H44" s="203"/>
      <c r="I44" s="197"/>
      <c r="J44" s="197"/>
      <c r="K44" s="204"/>
      <c r="L44" s="211"/>
      <c r="M44" s="195"/>
      <c r="N44" s="195"/>
      <c r="O44" s="250"/>
      <c r="P44" s="416"/>
      <c r="Q44" s="416"/>
    </row>
    <row r="45" spans="2:17" s="191" customFormat="1" ht="17.100000000000001" customHeight="1" thickBot="1" x14ac:dyDescent="0.25">
      <c r="B45" s="3"/>
      <c r="C45" s="128"/>
      <c r="D45" s="205"/>
      <c r="E45" s="206"/>
      <c r="F45" s="206"/>
      <c r="G45" s="207"/>
      <c r="H45" s="205"/>
      <c r="I45" s="206"/>
      <c r="J45" s="206"/>
      <c r="K45" s="207"/>
      <c r="L45" s="212"/>
      <c r="M45" s="213"/>
      <c r="N45" s="213"/>
      <c r="O45" s="264"/>
      <c r="P45" s="238"/>
      <c r="Q45" s="238"/>
    </row>
    <row r="46" spans="2:17" s="191" customFormat="1" ht="17.100000000000001" customHeight="1" x14ac:dyDescent="0.2"/>
    <row r="47" spans="2:17" s="191" customFormat="1" ht="17.100000000000001" customHeight="1" x14ac:dyDescent="0.2">
      <c r="D47" s="276"/>
      <c r="E47" s="276"/>
      <c r="F47" s="276"/>
      <c r="G47" s="276"/>
      <c r="H47" s="276"/>
      <c r="I47" s="276"/>
      <c r="J47" s="276"/>
    </row>
    <row r="48" spans="2:17" s="191" customFormat="1" ht="17.100000000000001" customHeight="1" x14ac:dyDescent="0.2">
      <c r="B48" s="269"/>
      <c r="C48" s="269"/>
      <c r="D48" s="269"/>
      <c r="E48" s="269"/>
      <c r="F48" s="269"/>
      <c r="G48" s="269"/>
      <c r="H48" s="269"/>
      <c r="I48" s="269"/>
      <c r="J48" s="269"/>
      <c r="K48" s="189"/>
    </row>
    <row r="49" spans="2:11" s="191" customFormat="1" ht="17.100000000000001" customHeight="1" x14ac:dyDescent="0.2">
      <c r="B49" s="269"/>
      <c r="C49" s="269"/>
      <c r="D49" s="277"/>
      <c r="E49" s="277"/>
      <c r="F49" s="277"/>
      <c r="G49" s="277"/>
      <c r="H49" s="190"/>
      <c r="I49" s="190"/>
      <c r="J49" s="190"/>
      <c r="K49" s="190"/>
    </row>
    <row r="50" spans="2:11" s="191" customFormat="1" ht="17.100000000000001" customHeight="1" x14ac:dyDescent="0.2">
      <c r="B50" s="269"/>
      <c r="C50" s="269"/>
      <c r="D50" s="269"/>
      <c r="E50" s="269"/>
      <c r="F50" s="269"/>
      <c r="G50" s="269"/>
      <c r="H50" s="269"/>
      <c r="I50" s="269"/>
      <c r="J50" s="269"/>
      <c r="K50" s="269"/>
    </row>
    <row r="51" spans="2:11" ht="23.25" x14ac:dyDescent="0.2">
      <c r="D51" s="15"/>
      <c r="E51" s="15"/>
      <c r="F51" s="15"/>
      <c r="G51" s="15"/>
      <c r="H51" s="15"/>
      <c r="I51" s="15"/>
      <c r="J51" s="15"/>
      <c r="K51" s="15"/>
    </row>
  </sheetData>
  <mergeCells count="48">
    <mergeCell ref="B50:K50"/>
    <mergeCell ref="L3:O3"/>
    <mergeCell ref="D47:J47"/>
    <mergeCell ref="B48:C49"/>
    <mergeCell ref="D48:J48"/>
    <mergeCell ref="D49:G49"/>
    <mergeCell ref="B2:B3"/>
    <mergeCell ref="D3:G3"/>
    <mergeCell ref="H3:K3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21:Q21"/>
    <mergeCell ref="P22:Q22"/>
    <mergeCell ref="P15:Q15"/>
    <mergeCell ref="P16:Q16"/>
    <mergeCell ref="P17:Q17"/>
    <mergeCell ref="P18:Q18"/>
    <mergeCell ref="P19:Q19"/>
    <mergeCell ref="P44:Q44"/>
    <mergeCell ref="P35:Q35"/>
    <mergeCell ref="P36:Q36"/>
    <mergeCell ref="P37:Q37"/>
    <mergeCell ref="P38:Q38"/>
    <mergeCell ref="P39:Q39"/>
    <mergeCell ref="P24:Q24"/>
    <mergeCell ref="P23:Q23"/>
    <mergeCell ref="D2:O2"/>
    <mergeCell ref="P40:Q40"/>
    <mergeCell ref="P42:Q42"/>
    <mergeCell ref="P30:Q30"/>
    <mergeCell ref="P31:Q31"/>
    <mergeCell ref="P32:Q32"/>
    <mergeCell ref="P33:Q33"/>
    <mergeCell ref="P34:Q34"/>
    <mergeCell ref="P25:Q25"/>
    <mergeCell ref="P26:Q26"/>
    <mergeCell ref="P27:Q27"/>
    <mergeCell ref="P28:Q28"/>
    <mergeCell ref="P29:Q29"/>
    <mergeCell ref="P20:Q20"/>
  </mergeCells>
  <pageMargins left="0.19685039370078741" right="0.17" top="0.76" bottom="0.98425196850393704" header="0.51181102362204722" footer="0.51181102362204722"/>
  <pageSetup paperSize="9" scale="6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6BA82F2AF2844BA58DF6FC1C2D7D9F" ma:contentTypeVersion="13" ma:contentTypeDescription="Crear nuevo documento." ma:contentTypeScope="" ma:versionID="6db069dac6e12a773eed2856ffc57008">
  <xsd:schema xmlns:xsd="http://www.w3.org/2001/XMLSchema" xmlns:xs="http://www.w3.org/2001/XMLSchema" xmlns:p="http://schemas.microsoft.com/office/2006/metadata/properties" xmlns:ns2="fbeaeadd-4257-4a96-aaeb-1dd7af8ab5b3" xmlns:ns3="dd44bb50-b196-477e-ab6d-e0a931199959" targetNamespace="http://schemas.microsoft.com/office/2006/metadata/properties" ma:root="true" ma:fieldsID="cf6d3af9e027959527c0509fdef50cec" ns2:_="" ns3:_="">
    <xsd:import namespace="fbeaeadd-4257-4a96-aaeb-1dd7af8ab5b3"/>
    <xsd:import namespace="dd44bb50-b196-477e-ab6d-e0a931199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aeadd-4257-4a96-aaeb-1dd7af8a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be827888-093a-4dfb-9a59-6f7ba3fe1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4bb50-b196-477e-ab6d-e0a93119995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460af3b-b4ff-4bab-85d4-0d3363ff5a83}" ma:internalName="TaxCatchAll" ma:showField="CatchAllData" ma:web="dd44bb50-b196-477e-ab6d-e0a931199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44bb50-b196-477e-ab6d-e0a931199959" xsi:nil="true"/>
    <lcf76f155ced4ddcb4097134ff3c332f xmlns="fbeaeadd-4257-4a96-aaeb-1dd7af8ab5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42D7E0-63D7-410A-94F1-D628C9D286E3}"/>
</file>

<file path=customXml/itemProps2.xml><?xml version="1.0" encoding="utf-8"?>
<ds:datastoreItem xmlns:ds="http://schemas.openxmlformats.org/officeDocument/2006/customXml" ds:itemID="{C2C8ABC2-7CC5-4304-B11A-F02F3D6897C6}"/>
</file>

<file path=customXml/itemProps3.xml><?xml version="1.0" encoding="utf-8"?>
<ds:datastoreItem xmlns:ds="http://schemas.openxmlformats.org/officeDocument/2006/customXml" ds:itemID="{3B242425-D2A3-49FB-9CE9-E9C2A1179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MD </vt:lpstr>
      <vt:lpstr>Costos Unitarios</vt:lpstr>
      <vt:lpstr>FOTOS</vt:lpstr>
      <vt:lpstr>MD  (2)</vt:lpstr>
      <vt:lpstr>'Costos Unitarios'!Área_de_impresión</vt:lpstr>
      <vt:lpstr>'MD '!Área_de_impresión</vt:lpstr>
      <vt:lpstr>'MD  (2)'!Área_de_impresión</vt:lpstr>
    </vt:vector>
  </TitlesOfParts>
  <Company>Gerdau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Kátia Daniela Freire Soares</dc:creator>
  <cp:lastModifiedBy>Jaime Kongsan</cp:lastModifiedBy>
  <cp:lastPrinted>2014-10-17T04:59:30Z</cp:lastPrinted>
  <dcterms:created xsi:type="dcterms:W3CDTF">2004-01-26T19:30:41Z</dcterms:created>
  <dcterms:modified xsi:type="dcterms:W3CDTF">2018-01-23T21:29:24Z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0x010100A86BA82F2AF2844BA58DF6FC1C2D7D9F</vt:lpwstr>
  </property>
</Properties>
</file>